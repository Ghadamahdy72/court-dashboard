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premejudiciarycouncil-my.sharepoint.com/personal/gmahdy_sjc_gov_qa/Documents/Desktop/"/>
    </mc:Choice>
  </mc:AlternateContent>
  <xr:revisionPtr revIDLastSave="9850" documentId="13_ncr:1_{CED3BAFF-3B07-4162-8D7D-8BC938593E48}" xr6:coauthVersionLast="47" xr6:coauthVersionMax="47" xr10:uidLastSave="{5804038D-20D1-4E7C-A01D-E6FFAA9B5654}"/>
  <bookViews>
    <workbookView xWindow="-110" yWindow="-110" windowWidth="19420" windowHeight="10300" xr2:uid="{00000000-000D-0000-FFFF-FFFF00000000}"/>
  </bookViews>
  <sheets>
    <sheet name="سبتمبر2025" sheetId="15" r:id="rId1"/>
    <sheet name="اكتوبر2025" sheetId="12" r:id="rId2"/>
    <sheet name="نوفمبر-2025" sheetId="14" r:id="rId3"/>
    <sheet name="ديسمبر 2025" sheetId="17" r:id="rId4"/>
    <sheet name="يناير-2026" sheetId="18" r:id="rId5"/>
    <sheet name="فبراير2026" sheetId="19" r:id="rId6"/>
    <sheet name="مارس 2026" sheetId="20" r:id="rId7"/>
    <sheet name="ابريل -2026" sheetId="22" r:id="rId8"/>
    <sheet name="مايو -2026 " sheetId="26" r:id="rId9"/>
    <sheet name="يونيو -2026" sheetId="27" r:id="rId10"/>
    <sheet name="يوليو -2026" sheetId="28" r:id="rId11"/>
    <sheet name="أغسطس -2026" sheetId="29" r:id="rId12"/>
    <sheet name="سبتمبر -2026" sheetId="30" r:id="rId13"/>
    <sheet name="أكتوبر -2026 " sheetId="31" r:id="rId14"/>
    <sheet name="نوفمبر -2026 " sheetId="32" r:id="rId15"/>
    <sheet name="ديسمبر -2026  " sheetId="33" r:id="rId16"/>
    <sheet name="بيانات_الفلتر" sheetId="24" state="veryHidden" r:id="rId17"/>
    <sheet name="حسابات_ديناميكية" sheetId="25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5" l="1"/>
  <c r="L3" i="25"/>
  <c r="L4" i="25"/>
  <c r="L5" i="25"/>
  <c r="L6" i="25"/>
  <c r="L7" i="25"/>
  <c r="L8" i="25"/>
  <c r="L9" i="25"/>
  <c r="L10" i="25"/>
  <c r="L11" i="25"/>
  <c r="L12" i="25"/>
  <c r="L13" i="25"/>
  <c r="L14" i="25"/>
  <c r="L15" i="25"/>
  <c r="L16" i="25"/>
  <c r="J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P19" i="33"/>
  <c r="O19" i="33"/>
  <c r="N19" i="33"/>
  <c r="M19" i="33"/>
  <c r="L19" i="33"/>
  <c r="J19" i="33"/>
  <c r="I19" i="33"/>
  <c r="H19" i="33"/>
  <c r="G19" i="33"/>
  <c r="F19" i="33"/>
  <c r="P19" i="32"/>
  <c r="O19" i="32"/>
  <c r="N19" i="32"/>
  <c r="M19" i="32"/>
  <c r="L19" i="32"/>
  <c r="J19" i="32"/>
  <c r="I19" i="32"/>
  <c r="H19" i="32"/>
  <c r="G19" i="32"/>
  <c r="F19" i="32"/>
  <c r="P19" i="31"/>
  <c r="O19" i="31"/>
  <c r="N19" i="31"/>
  <c r="M19" i="31"/>
  <c r="L19" i="31"/>
  <c r="J19" i="31"/>
  <c r="I19" i="31"/>
  <c r="H19" i="31"/>
  <c r="G19" i="31"/>
  <c r="F19" i="31"/>
  <c r="P19" i="30"/>
  <c r="O19" i="30"/>
  <c r="N19" i="30"/>
  <c r="M19" i="30"/>
  <c r="L19" i="30"/>
  <c r="J19" i="30"/>
  <c r="I19" i="30"/>
  <c r="H19" i="30"/>
  <c r="G19" i="30"/>
  <c r="F19" i="30"/>
  <c r="P19" i="29"/>
  <c r="O19" i="29"/>
  <c r="N19" i="29"/>
  <c r="M19" i="29"/>
  <c r="L19" i="29"/>
  <c r="J19" i="29"/>
  <c r="I19" i="29"/>
  <c r="H19" i="29"/>
  <c r="G19" i="29"/>
  <c r="F19" i="29"/>
  <c r="P19" i="28"/>
  <c r="O19" i="28"/>
  <c r="N19" i="28"/>
  <c r="M19" i="28"/>
  <c r="L19" i="28"/>
  <c r="J19" i="28"/>
  <c r="I19" i="28"/>
  <c r="H19" i="28"/>
  <c r="G19" i="28"/>
  <c r="F19" i="28"/>
  <c r="P19" i="27"/>
  <c r="O19" i="27"/>
  <c r="N19" i="27"/>
  <c r="M19" i="27"/>
  <c r="L19" i="27"/>
  <c r="J19" i="27"/>
  <c r="I19" i="27"/>
  <c r="H19" i="27"/>
  <c r="G19" i="27"/>
  <c r="F19" i="27"/>
  <c r="I16" i="25"/>
  <c r="H16" i="25"/>
  <c r="G16" i="25"/>
  <c r="F16" i="25"/>
  <c r="E16" i="25"/>
  <c r="D16" i="25"/>
  <c r="C16" i="25"/>
  <c r="B16" i="25"/>
  <c r="I15" i="25"/>
  <c r="H15" i="25"/>
  <c r="G15" i="25"/>
  <c r="F15" i="25"/>
  <c r="E15" i="25"/>
  <c r="D15" i="25"/>
  <c r="C15" i="25"/>
  <c r="B15" i="25"/>
  <c r="I14" i="25"/>
  <c r="H14" i="25"/>
  <c r="G14" i="25"/>
  <c r="F14" i="25"/>
  <c r="E14" i="25"/>
  <c r="D14" i="25"/>
  <c r="C14" i="25"/>
  <c r="B14" i="25"/>
  <c r="I13" i="25"/>
  <c r="H13" i="25"/>
  <c r="G13" i="25"/>
  <c r="F13" i="25"/>
  <c r="E13" i="25"/>
  <c r="D13" i="25"/>
  <c r="C13" i="25"/>
  <c r="B13" i="25"/>
  <c r="I12" i="25"/>
  <c r="H12" i="25"/>
  <c r="G12" i="25"/>
  <c r="F12" i="25"/>
  <c r="E12" i="25"/>
  <c r="D12" i="25"/>
  <c r="C12" i="25"/>
  <c r="B12" i="25"/>
  <c r="I11" i="25"/>
  <c r="H11" i="25"/>
  <c r="G11" i="25"/>
  <c r="F11" i="25"/>
  <c r="E11" i="25"/>
  <c r="D11" i="25"/>
  <c r="C11" i="25"/>
  <c r="B11" i="25"/>
  <c r="I10" i="25"/>
  <c r="H10" i="25"/>
  <c r="G10" i="25"/>
  <c r="F10" i="25"/>
  <c r="E10" i="25"/>
  <c r="D10" i="25"/>
  <c r="C10" i="25"/>
  <c r="B10" i="25"/>
  <c r="I9" i="25"/>
  <c r="H9" i="25"/>
  <c r="G9" i="25"/>
  <c r="F9" i="25"/>
  <c r="E9" i="25"/>
  <c r="D9" i="25"/>
  <c r="C9" i="25"/>
  <c r="B9" i="25"/>
  <c r="I8" i="25"/>
  <c r="H8" i="25"/>
  <c r="G8" i="25"/>
  <c r="F8" i="25"/>
  <c r="E8" i="25"/>
  <c r="D8" i="25"/>
  <c r="C8" i="25"/>
  <c r="B8" i="25"/>
  <c r="I7" i="25"/>
  <c r="H7" i="25"/>
  <c r="G7" i="25"/>
  <c r="F7" i="25"/>
  <c r="E7" i="25"/>
  <c r="D7" i="25"/>
  <c r="C7" i="25"/>
  <c r="B7" i="25"/>
  <c r="I6" i="25"/>
  <c r="H6" i="25"/>
  <c r="G6" i="25"/>
  <c r="F6" i="25"/>
  <c r="E6" i="25"/>
  <c r="D6" i="25"/>
  <c r="C6" i="25"/>
  <c r="B6" i="25"/>
  <c r="I5" i="25"/>
  <c r="H5" i="25"/>
  <c r="G5" i="25"/>
  <c r="F5" i="25"/>
  <c r="E5" i="25"/>
  <c r="D5" i="25"/>
  <c r="C5" i="25"/>
  <c r="B5" i="25"/>
  <c r="I4" i="25"/>
  <c r="H4" i="25"/>
  <c r="G4" i="25"/>
  <c r="F4" i="25"/>
  <c r="E4" i="25"/>
  <c r="D4" i="25"/>
  <c r="C4" i="25"/>
  <c r="B4" i="25"/>
  <c r="I3" i="25"/>
  <c r="H3" i="25"/>
  <c r="G3" i="25"/>
  <c r="F3" i="25"/>
  <c r="E3" i="25"/>
  <c r="D3" i="25"/>
  <c r="C3" i="25"/>
  <c r="B3" i="25"/>
  <c r="I2" i="25"/>
  <c r="H2" i="25"/>
  <c r="G2" i="25"/>
  <c r="F2" i="25"/>
  <c r="E2" i="25"/>
  <c r="D2" i="25"/>
  <c r="C2" i="25"/>
  <c r="B2" i="25"/>
  <c r="P19" i="26"/>
  <c r="O19" i="26"/>
  <c r="N19" i="26"/>
  <c r="M19" i="26"/>
  <c r="L19" i="26"/>
  <c r="J19" i="26"/>
  <c r="I19" i="26"/>
  <c r="H19" i="26"/>
  <c r="G19" i="26"/>
  <c r="F19" i="26"/>
  <c r="K16" i="25"/>
  <c r="K15" i="25"/>
  <c r="K14" i="25"/>
  <c r="K13" i="25"/>
  <c r="K12" i="25"/>
  <c r="K11" i="25"/>
  <c r="K10" i="25"/>
  <c r="K9" i="25"/>
  <c r="K8" i="25"/>
  <c r="K7" i="25"/>
  <c r="K6" i="25"/>
  <c r="K5" i="25"/>
  <c r="K4" i="25"/>
  <c r="K3" i="25"/>
  <c r="K2" i="25"/>
  <c r="P19" i="22"/>
  <c r="O19" i="22"/>
  <c r="N19" i="22"/>
  <c r="M19" i="22"/>
  <c r="L19" i="22"/>
  <c r="J19" i="22"/>
  <c r="I19" i="22"/>
  <c r="H19" i="22"/>
  <c r="G19" i="22"/>
  <c r="F19" i="22"/>
  <c r="L17" i="25" l="1"/>
  <c r="J17" i="25"/>
  <c r="I17" i="25"/>
  <c r="H17" i="25"/>
  <c r="G17" i="25"/>
  <c r="F17" i="25"/>
  <c r="E17" i="25"/>
  <c r="D17" i="25"/>
  <c r="C17" i="25"/>
  <c r="B17" i="25"/>
  <c r="K17" i="25"/>
  <c r="P19" i="20"/>
  <c r="O19" i="20"/>
  <c r="N19" i="20"/>
  <c r="M19" i="20"/>
  <c r="L19" i="20"/>
  <c r="J19" i="20"/>
  <c r="I19" i="20"/>
  <c r="H19" i="20"/>
  <c r="G19" i="20"/>
  <c r="F19" i="20"/>
  <c r="P19" i="19"/>
  <c r="O19" i="19"/>
  <c r="N19" i="19"/>
  <c r="M19" i="19"/>
  <c r="L19" i="19"/>
  <c r="J19" i="19"/>
  <c r="I19" i="19"/>
  <c r="H19" i="19"/>
  <c r="G19" i="19"/>
  <c r="F19" i="19"/>
  <c r="P19" i="18"/>
  <c r="O19" i="18"/>
  <c r="N19" i="18"/>
  <c r="M19" i="18"/>
  <c r="J19" i="18"/>
  <c r="I19" i="18"/>
  <c r="H19" i="18"/>
  <c r="G19" i="18"/>
  <c r="F19" i="18"/>
  <c r="K19" i="17"/>
  <c r="K5" i="17"/>
  <c r="K8" i="17"/>
  <c r="K11" i="17"/>
  <c r="K12" i="17"/>
  <c r="K13" i="17"/>
  <c r="K16" i="17"/>
  <c r="L5" i="17"/>
  <c r="L6" i="17"/>
  <c r="K6" i="17" s="1"/>
  <c r="L7" i="17"/>
  <c r="K7" i="17" s="1"/>
  <c r="L8" i="17"/>
  <c r="L9" i="17"/>
  <c r="K9" i="17" s="1"/>
  <c r="L10" i="17"/>
  <c r="K10" i="17" s="1"/>
  <c r="L11" i="17"/>
  <c r="L12" i="17"/>
  <c r="L13" i="17"/>
  <c r="L14" i="17"/>
  <c r="K14" i="17" s="1"/>
  <c r="L15" i="17"/>
  <c r="K15" i="17" s="1"/>
  <c r="L16" i="17"/>
  <c r="L17" i="17"/>
  <c r="K17" i="17" s="1"/>
  <c r="L18" i="17"/>
  <c r="K18" i="17" s="1"/>
  <c r="L4" i="17"/>
  <c r="K4" i="17" s="1"/>
  <c r="F19" i="17"/>
  <c r="P19" i="17"/>
  <c r="O19" i="17"/>
  <c r="N19" i="17"/>
  <c r="M19" i="17"/>
  <c r="J19" i="17"/>
  <c r="I19" i="17"/>
  <c r="H19" i="17"/>
  <c r="G19" i="17"/>
  <c r="L19" i="18" l="1"/>
  <c r="L19" i="17"/>
  <c r="P19" i="15"/>
  <c r="O19" i="15"/>
  <c r="N19" i="15"/>
  <c r="M19" i="15"/>
  <c r="L19" i="15"/>
  <c r="J19" i="15"/>
  <c r="I19" i="15"/>
  <c r="H19" i="15"/>
  <c r="G19" i="15"/>
  <c r="F19" i="15"/>
  <c r="P19" i="14" l="1"/>
  <c r="O19" i="14"/>
  <c r="N19" i="14"/>
  <c r="M19" i="14"/>
  <c r="L19" i="14"/>
  <c r="J19" i="14"/>
  <c r="I19" i="14"/>
  <c r="H19" i="14"/>
  <c r="G19" i="14"/>
  <c r="F19" i="14"/>
  <c r="O19" i="12" l="1"/>
  <c r="P19" i="12"/>
  <c r="N19" i="12"/>
  <c r="M19" i="12"/>
  <c r="L19" i="12"/>
  <c r="G19" i="12"/>
  <c r="H19" i="12"/>
  <c r="I19" i="12"/>
  <c r="J19" i="12"/>
  <c r="F19" i="12"/>
</calcChain>
</file>

<file path=xl/sharedStrings.xml><?xml version="1.0" encoding="utf-8"?>
<sst xmlns="http://schemas.openxmlformats.org/spreadsheetml/2006/main" count="1519" uniqueCount="109">
  <si>
    <t xml:space="preserve">الدائرة </t>
  </si>
  <si>
    <t>عدد الطلبات المسجلة</t>
  </si>
  <si>
    <t>عدد الدعاوى المسجلة</t>
  </si>
  <si>
    <t>عدد الدعاوى المتداولة</t>
  </si>
  <si>
    <t>عدد الدعاوى المحكومة</t>
  </si>
  <si>
    <t>احكام اليوم الواحد</t>
  </si>
  <si>
    <t>عدد الدعاوى المرحلة</t>
  </si>
  <si>
    <t>د/ناصر عمران الكواري</t>
  </si>
  <si>
    <t>محمد رشدي</t>
  </si>
  <si>
    <t>سعيد الهاجري</t>
  </si>
  <si>
    <t>دكتور عايض سعد القحطاني</t>
  </si>
  <si>
    <t>محمد على</t>
  </si>
  <si>
    <t>محمود عساف</t>
  </si>
  <si>
    <t>حارب راشد المهندي</t>
  </si>
  <si>
    <t>محمد عبد الحليم</t>
  </si>
  <si>
    <t>سعود محمد البوعينين</t>
  </si>
  <si>
    <t>محمد عبد الهادي الدوسري</t>
  </si>
  <si>
    <t>بدر الدين</t>
  </si>
  <si>
    <t>سعد احمد السيلطي</t>
  </si>
  <si>
    <t>ماجد محمد العنزي</t>
  </si>
  <si>
    <t>ناصر العثمان</t>
  </si>
  <si>
    <t>محمد احمد صالح</t>
  </si>
  <si>
    <t>راجي جعفر سيد</t>
  </si>
  <si>
    <t>سارة الهاجري</t>
  </si>
  <si>
    <t>ابراهيم غصاب العدوي</t>
  </si>
  <si>
    <t>غالية الحبشي</t>
  </si>
  <si>
    <t>يوسف وحيد</t>
  </si>
  <si>
    <t>محمد فال</t>
  </si>
  <si>
    <t>نعمة الله</t>
  </si>
  <si>
    <t>المجموع</t>
  </si>
  <si>
    <t>خالد عبدالله لبده</t>
  </si>
  <si>
    <t>محمد طايس الجميلي</t>
  </si>
  <si>
    <t>موسي إبراهيم الهتمي</t>
  </si>
  <si>
    <t>محمد جمال</t>
  </si>
  <si>
    <t>خالد العبدالله</t>
  </si>
  <si>
    <t>حامد عيد</t>
  </si>
  <si>
    <t>على خالد الانصاري</t>
  </si>
  <si>
    <t>رئيس الدائرة</t>
  </si>
  <si>
    <t xml:space="preserve">امين سر الجلسة </t>
  </si>
  <si>
    <t>عدد الدعاوى المحالة</t>
  </si>
  <si>
    <t>نسبة الإنجاز</t>
  </si>
  <si>
    <t xml:space="preserve">عدد الدعاوى المحجوزة للحكم </t>
  </si>
  <si>
    <t>المتبقي للتداول</t>
  </si>
  <si>
    <t>راشد عبدالله النعيمي</t>
  </si>
  <si>
    <t>عدد الجلسات الالكترونية</t>
  </si>
  <si>
    <t>________</t>
  </si>
  <si>
    <t>الاحكام المتنوعه
(احالة+شطب+وقف)</t>
  </si>
  <si>
    <t>سبتمبر - 2025</t>
  </si>
  <si>
    <t xml:space="preserve">اكتوبر-2025 </t>
  </si>
  <si>
    <t xml:space="preserve"> نوفمبر -2025 </t>
  </si>
  <si>
    <t xml:space="preserve"> ديسمبر -2025 </t>
  </si>
  <si>
    <t xml:space="preserve">  يناير-2026</t>
  </si>
  <si>
    <t xml:space="preserve"> فبراير -2026</t>
  </si>
  <si>
    <t>مارس -2026</t>
  </si>
  <si>
    <t xml:space="preserve"> ابريل -2026</t>
  </si>
  <si>
    <t>الجلسات الإلكترونية</t>
  </si>
  <si>
    <t>الدائرة</t>
  </si>
  <si>
    <t>الإجمالي</t>
  </si>
  <si>
    <t>الشهر</t>
  </si>
  <si>
    <t>ديسمبر 2025</t>
  </si>
  <si>
    <t>يناير 2026</t>
  </si>
  <si>
    <t>فبراير 2026</t>
  </si>
  <si>
    <t>مارس 2026</t>
  </si>
  <si>
    <t>أبريل 2026</t>
  </si>
  <si>
    <t>المتداولة</t>
  </si>
  <si>
    <t>المحكومة</t>
  </si>
  <si>
    <t>المرحّلة</t>
  </si>
  <si>
    <t>المحجوزة</t>
  </si>
  <si>
    <t>المتبقي</t>
  </si>
  <si>
    <t>الطلبات</t>
  </si>
  <si>
    <t>المسجلة</t>
  </si>
  <si>
    <t>كل الشهور</t>
  </si>
  <si>
    <t>الطلبات المسجلة</t>
  </si>
  <si>
    <t>الدعاوى المسجلة</t>
  </si>
  <si>
    <t>سبتمبر 2025</t>
  </si>
  <si>
    <t>أكتوبر 2025</t>
  </si>
  <si>
    <t>نوفمبر 2025</t>
  </si>
  <si>
    <t>الدائرة الأولى تركات كلي</t>
  </si>
  <si>
    <t xml:space="preserve">الدائرة الثانية أسرة كلي </t>
  </si>
  <si>
    <t xml:space="preserve">الدائرة الثالثةاستئناف </t>
  </si>
  <si>
    <t xml:space="preserve">الدائرة الرابعة اسرة كلي </t>
  </si>
  <si>
    <t>الدائرة الخامسة أسرة كلي</t>
  </si>
  <si>
    <t xml:space="preserve">الدائرة السادسة استئناف </t>
  </si>
  <si>
    <t xml:space="preserve">الدائرة السابعة أسرة كلي </t>
  </si>
  <si>
    <t>الدائرة الاولى جزئي</t>
  </si>
  <si>
    <t>الدائرة الثانيةجزئي</t>
  </si>
  <si>
    <t>الدائرة الثالثة جزئي</t>
  </si>
  <si>
    <t>الدائرة الرابعة جزئي</t>
  </si>
  <si>
    <t>الدائرة الخامسة قاصرين</t>
  </si>
  <si>
    <t>الدائرة السادسة  جزئي</t>
  </si>
  <si>
    <t>الدائرة الثامنة  جزئي</t>
  </si>
  <si>
    <t>الدائرة التاسعة تركات</t>
  </si>
  <si>
    <t>مايو 2026</t>
  </si>
  <si>
    <t>يونيو -2026</t>
  </si>
  <si>
    <t>ديسمبر -2026</t>
  </si>
  <si>
    <t>نوفمبر -2026</t>
  </si>
  <si>
    <t>أكتوبر -2026</t>
  </si>
  <si>
    <t>سبتمبر -2026</t>
  </si>
  <si>
    <t>أغسطس-2026</t>
  </si>
  <si>
    <t>يوليو -2026</t>
  </si>
  <si>
    <t>مايو-2026</t>
  </si>
  <si>
    <t>سبتمبر 2026</t>
  </si>
  <si>
    <t>أكتوبر 2026</t>
  </si>
  <si>
    <t>نوفمبر 2026</t>
  </si>
  <si>
    <t>ديسمبر 2026</t>
  </si>
  <si>
    <t>يونيو 2026</t>
  </si>
  <si>
    <t>يوليو 2026</t>
  </si>
  <si>
    <t>أغسطس 2026</t>
  </si>
  <si>
    <t>أحكام اليوم الواحد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</si>
</sst>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48"/>
      <color rgb="FF990000"/>
      <name val="Sakkal Majalla"/>
    </font>
    <font>
      <b/>
      <sz val="36"/>
      <color rgb="FF000000"/>
      <name val="Sakkal Majalla"/>
    </font>
    <font>
      <sz val="11"/>
      <color theme="1"/>
      <name val="Calibri"/>
      <family val="2"/>
      <scheme val="minor"/>
    </font>
    <font>
      <b/>
      <sz val="36"/>
      <color theme="0"/>
      <name val="Sakkal Majalla"/>
    </font>
    <font>
      <b/>
      <sz val="48"/>
      <color theme="2" tint="-0.749992370372631"/>
      <name val="Sakkal Majalla"/>
    </font>
    <font>
      <sz val="36"/>
      <color theme="1"/>
      <name val="Sakkal Majalla"/>
    </font>
    <font>
      <b/>
      <sz val="48"/>
      <name val="Sakkal Majalla"/>
    </font>
    <font>
      <b/>
      <sz val="48"/>
      <color rgb="FF3A3838"/>
      <name val="Sakkal Majalla"/>
    </font>
    <font>
      <b/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9003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1565C0"/>
        <bgColor indexed="64"/>
      </patternFill>
    </fill>
    <fill>
      <patternFill patternType="solid">
        <fgColor rgb="FF0D47A1"/>
        <bgColor indexed="64"/>
      </patternFill>
    </fill>
    <fill>
      <patternFill patternType="solid">
        <fgColor rgb="FF546E7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 readingOrder="2"/>
    </xf>
    <xf numFmtId="9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 readingOrder="2"/>
    </xf>
    <xf numFmtId="0" fontId="6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 readingOrder="2"/>
    </xf>
    <xf numFmtId="0" fontId="7" fillId="0" borderId="0" xfId="0" applyFont="1"/>
    <xf numFmtId="0" fontId="3" fillId="5" borderId="1" xfId="0" applyFont="1" applyFill="1" applyBorder="1" applyAlignment="1">
      <alignment horizontal="center" vertical="center" wrapText="1" readingOrder="2"/>
    </xf>
    <xf numFmtId="0" fontId="6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9" fontId="6" fillId="4" borderId="1" xfId="2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9" fontId="6" fillId="4" borderId="1" xfId="2" applyFont="1" applyFill="1" applyBorder="1" applyAlignment="1">
      <alignment horizontal="center" vertical="center" wrapText="1"/>
    </xf>
    <xf numFmtId="9" fontId="2" fillId="3" borderId="2" xfId="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10" fillId="7" borderId="0" xfId="0" applyFont="1" applyFill="1"/>
    <xf numFmtId="0" fontId="10" fillId="9" borderId="0" xfId="0" applyFont="1" applyFill="1"/>
    <xf numFmtId="0" fontId="10" fillId="8" borderId="0" xfId="0" applyFont="1" applyFill="1"/>
    <xf numFmtId="0" fontId="3" fillId="4" borderId="1" xfId="0" applyFont="1" applyFill="1" applyBorder="1" applyAlignment="1">
      <alignment horizontal="center" vertical="center" wrapText="1" readingOrder="2"/>
    </xf>
  </cellXfs>
  <cellStyles count="3">
    <cellStyle name="Normal" xfId="0" builtinId="0"/>
    <cellStyle name="Normal 2" xfId="1" xr:uid="{FA73682B-701F-4022-A686-F251F4EBE1AD}"/>
    <cellStyle name="Percent" xfId="2" builtinId="5"/>
  </cellStyles>
  <dxfs count="368"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name val="Sakkal Majalla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name val="Sakkal Majalla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name val="Sakkal Majalla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name val="Sakkal Majalla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name val="Sakkal Majalla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name val="Sakkal Majalla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name val="Sakkal Majalla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name val="Sakkal Majalla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name val="Sakkal Majalla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name val="Sakkal Majalla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name val="Sakkal Majalla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name val="Sakkal Majalla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name val="Sakkal Majalla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name val="Sakkal Majalla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name val="Sakkal Majalla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99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2" tint="-0.74999237037263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name val="Sakkal Majalla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3A3838"/>
        <name val="Sakkal Majalla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Sakkal Majall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74854A2-CE2B-4642-A992-C66D4A74CF89}"/>
  </tableStyles>
  <colors>
    <mruColors>
      <color rgb="FF4C0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289C90-C578-434B-8E46-517651990415}" name="الجدول44522348" displayName="الجدول44522348" ref="H3:P19" totalsRowShown="0" headerRowDxfId="367" dataDxfId="365" totalsRowDxfId="363" headerRowBorderDxfId="366" tableBorderDxfId="364">
  <autoFilter ref="H3:P19" xr:uid="{149A648F-31A5-45CB-B4A9-8C9072C0350D}"/>
  <tableColumns count="9">
    <tableColumn id="1" xr3:uid="{56D18A6F-2050-4669-9DF9-34C924E911A5}" name="عدد الدعاوى المتداولة" dataDxfId="362" totalsRowDxfId="361"/>
    <tableColumn id="2" xr3:uid="{BFE8C248-4557-4F8E-A502-F7A1C4EB7420}" name="عدد الدعاوى المحكومة" dataDxfId="360" totalsRowDxfId="359"/>
    <tableColumn id="3" xr3:uid="{8185CBC1-E1B8-4C5D-BB8C-6AF763CCC49C}" name="عدد الدعاوى المحالة" dataDxfId="358" totalsRowDxfId="357"/>
    <tableColumn id="9" xr3:uid="{BFE751F7-32AE-4A0C-B83B-155205E3BAFC}" name="نسبة الإنجاز" dataDxfId="356" totalsRowDxfId="355"/>
    <tableColumn id="8" xr3:uid="{0B31BD3E-93BA-495F-84FE-406647280990}" name="عدد الدعاوى المرحلة" dataDxfId="354" totalsRowDxfId="353"/>
    <tableColumn id="4" xr3:uid="{CA6006C9-4AC4-43DA-9405-40ABA12640E4}" name="عدد الدعاوى المحجوزة للحكم " dataDxfId="352" totalsRowDxfId="351"/>
    <tableColumn id="7" xr3:uid="{89F67D03-93B9-4AC0-8569-99E1160AF0BD}" name="المتبقي للتداول" dataDxfId="350" totalsRowDxfId="349"/>
    <tableColumn id="5" xr3:uid="{129B7584-6BEE-4329-A903-C71323374A21}" name="احكام اليوم الواحد" dataDxfId="348" totalsRowDxfId="347"/>
    <tableColumn id="11" xr3:uid="{FF726885-2F6C-4221-B957-117046AFED5B}" name="عدد الجلسات الالكترونية" dataDxfId="346" totalsRowDxfId="3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74A1B9-BEC6-4941-946A-2522D0A8D0E4}" name="الجدول4452234" displayName="الجدول4452234" ref="H3:P19" totalsRowShown="0" headerRowDxfId="344" dataDxfId="342" totalsRowDxfId="340" headerRowBorderDxfId="343" tableBorderDxfId="341">
  <autoFilter ref="H3:P19" xr:uid="{149A648F-31A5-45CB-B4A9-8C9072C0350D}"/>
  <tableColumns count="9">
    <tableColumn id="1" xr3:uid="{1B5B3691-FADB-475F-B340-5CECDAAF5C01}" name="عدد الدعاوى المتداولة" dataDxfId="339" totalsRowDxfId="338"/>
    <tableColumn id="2" xr3:uid="{B431F1A8-A376-4D65-AE13-4E7C76880CB6}" name="عدد الدعاوى المحكومة" dataDxfId="337" totalsRowDxfId="336"/>
    <tableColumn id="3" xr3:uid="{92C2B66B-B21A-46CE-88AD-24F52252DB16}" name="عدد الدعاوى المحالة" dataDxfId="335" totalsRowDxfId="334"/>
    <tableColumn id="9" xr3:uid="{85225D24-A16B-40E8-AE75-4C6DDBEBFFE5}" name="نسبة الإنجاز" dataDxfId="333" totalsRowDxfId="332"/>
    <tableColumn id="8" xr3:uid="{43FCB6B8-1DA2-45FA-9BBF-624A50089F9F}" name="عدد الدعاوى المرحلة" dataDxfId="331" totalsRowDxfId="330"/>
    <tableColumn id="4" xr3:uid="{4856FF0A-6E25-4FCA-8A01-606E9A314D39}" name="عدد الدعاوى المحجوزة للحكم " dataDxfId="329" totalsRowDxfId="328"/>
    <tableColumn id="7" xr3:uid="{3EE48E7A-1098-4FF3-BA57-7A0371519A68}" name="المتبقي للتداول" dataDxfId="327" totalsRowDxfId="326"/>
    <tableColumn id="5" xr3:uid="{16EF4E05-A0B4-4FE5-B603-EFFB20F1D0AF}" name="احكام اليوم الواحد" dataDxfId="325" totalsRowDxfId="324"/>
    <tableColumn id="11" xr3:uid="{AEA10267-626D-4F3F-BE21-6838C728E689}" name="عدد الجلسات الالكترونية" dataDxfId="323" totalsRowDxfId="3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2AD4E4-5069-455E-BF46-F2BD310ED0ED}" name="الجدول44522347" displayName="الجدول44522347" ref="H3:P19" totalsRowShown="0" headerRowDxfId="321" dataDxfId="319" totalsRowDxfId="317" headerRowBorderDxfId="320" tableBorderDxfId="318">
  <autoFilter ref="H3:P19" xr:uid="{149A648F-31A5-45CB-B4A9-8C9072C0350D}"/>
  <tableColumns count="9">
    <tableColumn id="1" xr3:uid="{C65082D1-A746-41EF-8030-876698B6C732}" name="عدد الدعاوى المتداولة" dataDxfId="316" totalsRowDxfId="315"/>
    <tableColumn id="2" xr3:uid="{BE6A013B-55CF-4C79-B0C4-7B0F9B6944BF}" name="عدد الدعاوى المحكومة" dataDxfId="314" totalsRowDxfId="313"/>
    <tableColumn id="3" xr3:uid="{991F3FB1-DBC1-4651-B438-5BCFDCB4366E}" name="عدد الدعاوى المحالة" dataDxfId="312" totalsRowDxfId="311"/>
    <tableColumn id="9" xr3:uid="{E9806668-0273-493B-9D09-435C6286ABE2}" name="نسبة الإنجاز" dataDxfId="310" totalsRowDxfId="309"/>
    <tableColumn id="8" xr3:uid="{CA3ED2F2-F236-4066-8885-B191428F1CDA}" name="عدد الدعاوى المرحلة" dataDxfId="308" totalsRowDxfId="307"/>
    <tableColumn id="4" xr3:uid="{58349B56-E63D-4323-9B1D-85B588F40683}" name="عدد الدعاوى المحجوزة للحكم " dataDxfId="306" totalsRowDxfId="305"/>
    <tableColumn id="7" xr3:uid="{9E9C9745-3547-4B37-BCF1-78555228C723}" name="المتبقي للتداول" dataDxfId="304" totalsRowDxfId="303"/>
    <tableColumn id="5" xr3:uid="{6C191B22-CD23-4564-A91B-DD5E0671202B}" name="احكام اليوم الواحد" dataDxfId="302" totalsRowDxfId="301"/>
    <tableColumn id="11" xr3:uid="{A98AC969-E7E2-4BC9-AE1E-1EE2F84BB6D6}" name="عدد الجلسات الالكترونية" dataDxfId="300" totalsRowDxfId="29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B0BEE43-7BB5-4A44-88BD-C6EFF6CA306B}" name="الجدول445223479" displayName="الجدول445223479" ref="H3:P19" totalsRowShown="0" headerRowDxfId="298" dataDxfId="296" totalsRowDxfId="294" headerRowBorderDxfId="297" tableBorderDxfId="295">
  <autoFilter ref="H3:P19" xr:uid="{149A648F-31A5-45CB-B4A9-8C9072C0350D}"/>
  <tableColumns count="9">
    <tableColumn id="1" xr3:uid="{EC9E478C-589C-4740-83E4-CE05F1F25EE1}" name="عدد الدعاوى المتداولة" dataDxfId="293" totalsRowDxfId="292"/>
    <tableColumn id="2" xr3:uid="{B7E3D940-F0B3-47BD-AB76-2E9E2546C37C}" name="عدد الدعاوى المحكومة" dataDxfId="291" totalsRowDxfId="290"/>
    <tableColumn id="3" xr3:uid="{9DEA9DCF-AFC2-4F84-8339-87BC5C10DAEA}" name="عدد الدعاوى المحالة" dataDxfId="289" totalsRowDxfId="288"/>
    <tableColumn id="9" xr3:uid="{88F24226-BF93-4571-8B89-23E450B8637E}" name="نسبة الإنجاز" dataDxfId="287" totalsRowDxfId="286"/>
    <tableColumn id="8" xr3:uid="{5B123C4A-B06D-46F5-95DE-389E0E87D60C}" name="عدد الدعاوى المرحلة" dataDxfId="285" totalsRowDxfId="284"/>
    <tableColumn id="4" xr3:uid="{6DFFEA36-70B1-4DCA-9A27-7640ADFE5E5B}" name="عدد الدعاوى المحجوزة للحكم " dataDxfId="283" totalsRowDxfId="282"/>
    <tableColumn id="7" xr3:uid="{33A4A6B4-5FCE-4890-87BA-EBE6AB6D771C}" name="المتبقي للتداول" dataDxfId="281" totalsRowDxfId="280"/>
    <tableColumn id="5" xr3:uid="{4892BC8C-17C3-45A8-A2D5-0C6333705021}" name="احكام اليوم الواحد" dataDxfId="279" totalsRowDxfId="278"/>
    <tableColumn id="11" xr3:uid="{929325A4-94E0-4CC3-8264-1D3EA5E6C4FC}" name="عدد الجلسات الالكترونية" dataDxfId="277" totalsRowDxfId="27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735F0EC-057A-4CBC-A8AA-71E7DD5DC865}" name="الجدول44522347910" displayName="الجدول44522347910" ref="H3:P19" totalsRowShown="0" headerRowDxfId="275" dataDxfId="273" totalsRowDxfId="271" headerRowBorderDxfId="274" tableBorderDxfId="272">
  <autoFilter ref="H3:P19" xr:uid="{149A648F-31A5-45CB-B4A9-8C9072C0350D}"/>
  <tableColumns count="9">
    <tableColumn id="1" xr3:uid="{5E0ECC63-174A-4866-AB4B-C9249FF8EBCF}" name="عدد الدعاوى المتداولة" dataDxfId="270" totalsRowDxfId="269"/>
    <tableColumn id="2" xr3:uid="{F4D67DF3-0E65-4069-ADB6-C11D07C8175A}" name="عدد الدعاوى المحكومة" dataDxfId="268" totalsRowDxfId="267"/>
    <tableColumn id="3" xr3:uid="{5CD34D52-9514-4A8C-8DC5-B5E4BA038C56}" name="عدد الدعاوى المحالة" dataDxfId="266" totalsRowDxfId="265"/>
    <tableColumn id="9" xr3:uid="{DBA51A62-786D-4581-A8BC-23662063086E}" name="نسبة الإنجاز" dataDxfId="264" totalsRowDxfId="263">
      <calculatedColumnFormula>(الجدول44522347910[[#This Row],[عدد الدعاوى المتداولة]]-الجدول44522347910[[#This Row],[عدد الدعاوى المرحلة]])/الجدول44522347910[[#This Row],[عدد الدعاوى المتداولة]]</calculatedColumnFormula>
    </tableColumn>
    <tableColumn id="8" xr3:uid="{12F77F71-F538-4514-841B-72F9E28CD844}" name="عدد الدعاوى المرحلة" dataDxfId="262" totalsRowDxfId="261"/>
    <tableColumn id="4" xr3:uid="{B767718A-BAF9-444C-80BB-AEFB4B7222B2}" name="عدد الدعاوى المحجوزة للحكم " dataDxfId="260" totalsRowDxfId="259"/>
    <tableColumn id="7" xr3:uid="{D4C0E13D-6C97-43D7-9B78-A0B240C8D471}" name="المتبقي للتداول" dataDxfId="258" totalsRowDxfId="257"/>
    <tableColumn id="5" xr3:uid="{E118C8CA-B702-4C70-AE87-13F0797B2FEE}" name="احكام اليوم الواحد" dataDxfId="256" totalsRowDxfId="255"/>
    <tableColumn id="11" xr3:uid="{CF712F26-B412-4EC1-A6B1-8E3986237A1D}" name="عدد الجلسات الالكترونية" dataDxfId="254" totalsRowDxfId="2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224FBC5-3E3C-4861-AD46-DBA0C669356D}" name="الجدول4452234791011" displayName="الجدول4452234791011" ref="H3:P19" totalsRowShown="0" headerRowDxfId="252" dataDxfId="250" totalsRowDxfId="248" headerRowBorderDxfId="251" tableBorderDxfId="249">
  <autoFilter ref="H3:P19" xr:uid="{149A648F-31A5-45CB-B4A9-8C9072C0350D}"/>
  <tableColumns count="9">
    <tableColumn id="1" xr3:uid="{138F1078-1716-4FEE-8D4F-A0A0ADD6A074}" name="عدد الدعاوى المتداولة" dataDxfId="247" totalsRowDxfId="246"/>
    <tableColumn id="2" xr3:uid="{5BFC91E6-D045-469D-B2DC-CF709F8CDF37}" name="عدد الدعاوى المحكومة" dataDxfId="245" totalsRowDxfId="244"/>
    <tableColumn id="3" xr3:uid="{A8B46AC5-50A5-46C5-AAAC-3863DFAFF939}" name="عدد الدعاوى المحالة" dataDxfId="243" totalsRowDxfId="242"/>
    <tableColumn id="9" xr3:uid="{5F0A5D12-31C1-4B5F-AA90-670A1A11AF0E}" name="نسبة الإنجاز" dataDxfId="241" totalsRowDxfId="240">
      <calculatedColumnFormula>(الجدول4452234791011[[#This Row],[عدد الدعاوى المتداولة]]-الجدول4452234791011[[#This Row],[عدد الدعاوى المرحلة]])/الجدول4452234791011[[#This Row],[عدد الدعاوى المتداولة]]</calculatedColumnFormula>
    </tableColumn>
    <tableColumn id="8" xr3:uid="{61C16715-1B9C-4CAC-B306-23902E0F175C}" name="عدد الدعاوى المرحلة" dataDxfId="239" totalsRowDxfId="238"/>
    <tableColumn id="4" xr3:uid="{E69133EE-1E66-495F-89C6-147ABCAFA75A}" name="عدد الدعاوى المحجوزة للحكم " dataDxfId="237" totalsRowDxfId="236"/>
    <tableColumn id="7" xr3:uid="{D4A707F8-3B9A-4D60-82DD-6F186C15277E}" name="المتبقي للتداول" dataDxfId="235" totalsRowDxfId="234"/>
    <tableColumn id="5" xr3:uid="{60CAD041-AFC5-47DC-9892-700F844C73A6}" name="احكام اليوم الواحد" dataDxfId="233" totalsRowDxfId="232"/>
    <tableColumn id="11" xr3:uid="{DCD88DD6-21F1-45C6-8DA9-FF341096D64C}" name="عدد الجلسات الالكترونية" dataDxfId="231" totalsRowDxfId="2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E785EAB-E507-4222-9386-C64DB7B9DD70}" name="الجدول445223479101112" displayName="الجدول445223479101112" ref="H3:P19" totalsRowShown="0" headerRowDxfId="229" dataDxfId="227" totalsRowDxfId="225" headerRowBorderDxfId="228" tableBorderDxfId="226">
  <autoFilter ref="H3:P19" xr:uid="{149A648F-31A5-45CB-B4A9-8C9072C0350D}"/>
  <tableColumns count="9">
    <tableColumn id="1" xr3:uid="{19B64E8D-F7BB-4AB7-8F34-3E6ADD88AB4E}" name="عدد الدعاوى المتداولة" dataDxfId="224" totalsRowDxfId="223"/>
    <tableColumn id="2" xr3:uid="{2C2E86E9-D2B7-421B-8A1A-3A7BBA29B295}" name="عدد الدعاوى المحكومة" dataDxfId="222" totalsRowDxfId="221"/>
    <tableColumn id="3" xr3:uid="{41178A74-3A76-45F4-983F-66CAD938E0E4}" name="الاحكام المتنوعه_x000a_(احالة+شطب+وقف)" dataDxfId="220" totalsRowDxfId="219"/>
    <tableColumn id="9" xr3:uid="{7D508FD6-05D6-4E9E-B2EC-23011D65E454}" name="نسبة الإنجاز" dataDxfId="218" totalsRowDxfId="217">
      <calculatedColumnFormula>(الجدول445223479101112[[#This Row],[عدد الدعاوى المتداولة]]-الجدول445223479101112[[#This Row],[عدد الدعاوى المرحلة]])/الجدول445223479101112[[#This Row],[عدد الدعاوى المتداولة]]</calculatedColumnFormula>
    </tableColumn>
    <tableColumn id="8" xr3:uid="{B4F93352-55A3-4255-9461-8E86B2F5277A}" name="عدد الدعاوى المرحلة" dataDxfId="216" totalsRowDxfId="215"/>
    <tableColumn id="4" xr3:uid="{8C85B1F5-4128-418A-A236-680F6D2E373B}" name="عدد الدعاوى المحجوزة للحكم " dataDxfId="214" totalsRowDxfId="213"/>
    <tableColumn id="7" xr3:uid="{FDDB070C-83F4-4D83-B5EC-CC7B386585C1}" name="المتبقي للتداول" dataDxfId="212" totalsRowDxfId="211"/>
    <tableColumn id="5" xr3:uid="{FA35436B-77E3-43B1-9682-C5F30DEF5A6B}" name="احكام اليوم الواحد" dataDxfId="210" totalsRowDxfId="209"/>
    <tableColumn id="11" xr3:uid="{24281417-10A7-4882-ABB3-3278BE0A26A5}" name="عدد الجلسات الالكترونية" dataDxfId="208" totalsRowDxfId="20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86248E8-32DE-4409-8B6A-31D8C23A5B97}" name="الجدول44522347910111213" displayName="الجدول44522347910111213" ref="H3:P19" totalsRowShown="0" headerRowDxfId="206" dataDxfId="204" totalsRowDxfId="202" headerRowBorderDxfId="205" tableBorderDxfId="203">
  <autoFilter ref="H3:P19" xr:uid="{149A648F-31A5-45CB-B4A9-8C9072C0350D}"/>
  <tableColumns count="9">
    <tableColumn id="1" xr3:uid="{ABF33AB2-3A6F-4F22-A0EC-3DFBB2DCDD65}" name="عدد الدعاوى المتداولة" dataDxfId="201" totalsRowDxfId="200"/>
    <tableColumn id="2" xr3:uid="{4D6DD6D4-1695-45B8-A6FB-11D84851B559}" name="عدد الدعاوى المحكومة" dataDxfId="199" totalsRowDxfId="198"/>
    <tableColumn id="3" xr3:uid="{9EC1F84F-9FC8-4FD2-A35A-90C36B81A361}" name="الاحكام المتنوعه_x000a_(احالة+شطب+وقف)" dataDxfId="197" totalsRowDxfId="196"/>
    <tableColumn id="9" xr3:uid="{9D1196C8-A5B5-43D7-924E-7F6418DD034E}" name="نسبة الإنجاز" dataDxfId="195" totalsRowDxfId="194">
      <calculatedColumnFormula>(الجدول44522347910111213[[#This Row],[عدد الدعاوى المتداولة]]-الجدول44522347910111213[[#This Row],[عدد الدعاوى المرحلة]])/الجدول44522347910111213[[#This Row],[عدد الدعاوى المتداولة]]</calculatedColumnFormula>
    </tableColumn>
    <tableColumn id="8" xr3:uid="{A8289498-9AEF-4B4B-8FF4-D256D945C07D}" name="عدد الدعاوى المرحلة" dataDxfId="193" totalsRowDxfId="192"/>
    <tableColumn id="4" xr3:uid="{282BD3C6-5C19-4CD9-A6BC-96D6F133D214}" name="عدد الدعاوى المحجوزة للحكم " dataDxfId="191" totalsRowDxfId="190"/>
    <tableColumn id="7" xr3:uid="{D433FD9F-E630-4DCA-BD9B-0FBF42564C74}" name="المتبقي للتداول" dataDxfId="189" totalsRowDxfId="188"/>
    <tableColumn id="5" xr3:uid="{AFDD275D-98E7-4A1E-813A-DF046E11FD1B}" name="احكام اليوم الواحد" dataDxfId="187" totalsRowDxfId="186"/>
    <tableColumn id="11" xr3:uid="{9F650037-11F2-4871-9147-0A829B0FD772}" name="عدد الجلسات الالكترونية" dataDxfId="185" totalsRowDxfId="18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10E60F-102D-4E34-87D9-BD3563E9F4C0}" name="الجدول445223479101112133" displayName="الجدول445223479101112133" ref="H3:P19" totalsRowShown="0" headerRowDxfId="183" dataDxfId="181" totalsRowDxfId="179" headerRowBorderDxfId="182" tableBorderDxfId="180">
  <autoFilter ref="H3:P19" xr:uid="{149A648F-31A5-45CB-B4A9-8C9072C0350D}"/>
  <tableColumns count="9">
    <tableColumn id="1" xr3:uid="{00513CF6-8928-4704-95A8-55A7C7381B19}" name="عدد الدعاوى المتداولة" dataDxfId="178" totalsRowDxfId="177"/>
    <tableColumn id="2" xr3:uid="{CBF16584-B833-44D8-8A8E-3A5C48F3A44A}" name="عدد الدعاوى المحكومة" dataDxfId="176" totalsRowDxfId="175"/>
    <tableColumn id="3" xr3:uid="{40A6CCC2-36AC-4059-B8C3-19797D3DF194}" name="الاحكام المتنوعه_x000a_(احالة+شطب+وقف)" dataDxfId="174" totalsRowDxfId="173"/>
    <tableColumn id="9" xr3:uid="{BF45EFB3-61A7-49D5-8E12-D79AFAE166D9}" name="نسبة الإنجاز" dataDxfId="172" totalsRowDxfId="171">
      <calculatedColumnFormula>(الجدول445223479101112133[[#This Row],[عدد الدعاوى المتداولة]]-الجدول445223479101112133[[#This Row],[عدد الدعاوى المرحلة]])/الجدول445223479101112133[[#This Row],[عدد الدعاوى المتداولة]]</calculatedColumnFormula>
    </tableColumn>
    <tableColumn id="8" xr3:uid="{E0AAB2DF-8B28-465C-B163-411EC924A027}" name="عدد الدعاوى المرحلة" dataDxfId="170" totalsRowDxfId="169"/>
    <tableColumn id="4" xr3:uid="{0317C546-5411-4203-8178-195EED666008}" name="عدد الدعاوى المحجوزة للحكم " dataDxfId="168" totalsRowDxfId="167"/>
    <tableColumn id="7" xr3:uid="{61BE591C-38B4-467A-A0FF-4A89402D03A5}" name="المتبقي للتداول" dataDxfId="166" totalsRowDxfId="165"/>
    <tableColumn id="5" xr3:uid="{86149013-9DBE-48EA-80CE-C745876E3293}" name="احكام اليوم الواحد" dataDxfId="164" totalsRowDxfId="163"/>
    <tableColumn id="11" xr3:uid="{3C763D60-7B5A-4F05-AA76-19B47CE538C0}" name="عدد الجلسات الالكترونية" dataDxfId="162" totalsRowDxfId="16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0FE327-0B37-4832-A112-25CAE6E93638}" name="الجدول4452234791011121336" displayName="الجدول4452234791011121336" ref="H3:P19" totalsRowShown="0" headerRowDxfId="160" dataDxfId="158" totalsRowDxfId="156" headerRowBorderDxfId="159" tableBorderDxfId="157">
  <autoFilter ref="H3:P19" xr:uid="{149A648F-31A5-45CB-B4A9-8C9072C0350D}"/>
  <tableColumns count="9">
    <tableColumn id="1" xr3:uid="{DDED087D-DBD8-4EC0-BE2B-D3B8844C45A9}" name="عدد الدعاوى المتداولة" dataDxfId="155" totalsRowDxfId="154"/>
    <tableColumn id="2" xr3:uid="{2B9BBF33-67CB-42E5-ACDF-E26F28F57357}" name="عدد الدعاوى المحكومة" dataDxfId="153" totalsRowDxfId="152"/>
    <tableColumn id="3" xr3:uid="{FFDABA00-EA24-4A69-A9D5-D549E0ECFEF5}" name="الاحكام المتنوعه_x000a_(احالة+شطب+وقف)" dataDxfId="151" totalsRowDxfId="150"/>
    <tableColumn id="9" xr3:uid="{79679F0A-ADDA-4B0B-BDC5-FBD3A74C4A81}" name="نسبة الإنجاز" dataDxfId="149" totalsRowDxfId="148">
      <calculatedColumnFormula>(الجدول4452234791011121336[[#This Row],[عدد الدعاوى المتداولة]]-الجدول4452234791011121336[[#This Row],[عدد الدعاوى المرحلة]])/الجدول4452234791011121336[[#This Row],[عدد الدعاوى المتداولة]]</calculatedColumnFormula>
    </tableColumn>
    <tableColumn id="8" xr3:uid="{D240BAA5-38D9-4BE9-BA0A-3CB0CE161E93}" name="عدد الدعاوى المرحلة" dataDxfId="147" totalsRowDxfId="146"/>
    <tableColumn id="4" xr3:uid="{53C21A65-8246-435E-9A61-187FAC36D42B}" name="عدد الدعاوى المحجوزة للحكم " dataDxfId="145" totalsRowDxfId="144"/>
    <tableColumn id="7" xr3:uid="{E8E3794F-D793-4711-B90D-802F84B9102E}" name="المتبقي للتداول" dataDxfId="143" totalsRowDxfId="142"/>
    <tableColumn id="5" xr3:uid="{2D062834-63E1-49A7-A3B3-A5D1102B7673}" name="احكام اليوم الواحد" dataDxfId="141" totalsRowDxfId="140"/>
    <tableColumn id="11" xr3:uid="{BD6A47E6-3869-4897-B4BD-22CFE932835A}" name="عدد الجلسات الالكترونية" dataDxfId="139" totalsRowDxfId="13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7D5D296-53F7-4AFC-BAA5-F784F2208927}" name="الجدول445223479101112133614" displayName="الجدول445223479101112133614" ref="H3:P19" totalsRowShown="0" headerRowDxfId="137" dataDxfId="135" totalsRowDxfId="133" headerRowBorderDxfId="136" tableBorderDxfId="134">
  <autoFilter ref="H3:P19" xr:uid="{149A648F-31A5-45CB-B4A9-8C9072C0350D}"/>
  <tableColumns count="9">
    <tableColumn id="1" xr3:uid="{CEA6A181-62EA-48DC-899C-25277E623A8C}" name="عدد الدعاوى المتداولة" dataDxfId="132" totalsRowDxfId="131"/>
    <tableColumn id="2" xr3:uid="{930DCF36-4C39-4729-BE93-50F15C89531E}" name="عدد الدعاوى المحكومة" dataDxfId="130" totalsRowDxfId="129"/>
    <tableColumn id="3" xr3:uid="{6D985B37-1806-46A2-95A5-4F2F536A01A0}" name="الاحكام المتنوعه_x000a_(احالة+شطب+وقف)" dataDxfId="128" totalsRowDxfId="127"/>
    <tableColumn id="9" xr3:uid="{6FC700AD-BB02-4B88-AC7A-6C231C08662A}" name="نسبة الإنجاز" dataDxfId="126" totalsRowDxfId="125">
      <calculatedColumnFormula>(الجدول445223479101112133614[[#This Row],[عدد الدعاوى المتداولة]]-الجدول445223479101112133614[[#This Row],[عدد الدعاوى المرحلة]])/الجدول445223479101112133614[[#This Row],[عدد الدعاوى المتداولة]]</calculatedColumnFormula>
    </tableColumn>
    <tableColumn id="8" xr3:uid="{E5294D25-6329-4260-B57C-F88EEBAD8751}" name="عدد الدعاوى المرحلة" dataDxfId="124" totalsRowDxfId="123"/>
    <tableColumn id="4" xr3:uid="{7A90C68D-2B7A-4A3A-8BAC-D141B5177AEC}" name="عدد الدعاوى المحجوزة للحكم " dataDxfId="122" totalsRowDxfId="121"/>
    <tableColumn id="7" xr3:uid="{39C6C4B9-9688-46E8-B44B-4C526BFAA4B3}" name="المتبقي للتداول" dataDxfId="120" totalsRowDxfId="119"/>
    <tableColumn id="5" xr3:uid="{F017E28F-2B3A-475A-B1B2-3CEE02F2AB9B}" name="احكام اليوم الواحد" dataDxfId="118" totalsRowDxfId="117"/>
    <tableColumn id="11" xr3:uid="{5361B660-34AC-449E-BA71-1F4843440249}" name="عدد الجلسات الالكترونية" dataDxfId="116" totalsRowDxfId="11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BABD2E5-9662-4EDB-BA73-472E56F13CFC}" name="الجدول44522347910111213361415" displayName="الجدول44522347910111213361415" ref="H3:P19" totalsRowShown="0" headerRowDxfId="114" dataDxfId="112" totalsRowDxfId="110" headerRowBorderDxfId="113" tableBorderDxfId="111">
  <autoFilter ref="H3:P19" xr:uid="{149A648F-31A5-45CB-B4A9-8C9072C0350D}"/>
  <tableColumns count="9">
    <tableColumn id="1" xr3:uid="{ACBA9737-C70D-46E5-A759-89BA154942C3}" name="عدد الدعاوى المتداولة" dataDxfId="109" totalsRowDxfId="108"/>
    <tableColumn id="2" xr3:uid="{B2924C80-3DFB-4E11-9CCF-65F1047CEEBB}" name="عدد الدعاوى المحكومة" dataDxfId="107" totalsRowDxfId="106"/>
    <tableColumn id="3" xr3:uid="{47D9CA51-2475-4FEC-A1AF-46447815BA64}" name="الاحكام المتنوعه_x000a_(احالة+شطب+وقف)" dataDxfId="105" totalsRowDxfId="104"/>
    <tableColumn id="9" xr3:uid="{921278BE-57F5-47F0-9EC7-7F71925495C1}" name="نسبة الإنجاز" dataDxfId="103" totalsRowDxfId="102">
      <calculatedColumnFormula>(الجدول44522347910111213361415[[#This Row],[عدد الدعاوى المتداولة]]-الجدول44522347910111213361415[[#This Row],[عدد الدعاوى المرحلة]])/الجدول44522347910111213361415[[#This Row],[عدد الدعاوى المتداولة]]</calculatedColumnFormula>
    </tableColumn>
    <tableColumn id="8" xr3:uid="{11CD2BED-F801-4C53-918E-F1C87F676CC8}" name="عدد الدعاوى المرحلة" dataDxfId="101" totalsRowDxfId="100"/>
    <tableColumn id="4" xr3:uid="{5DCC6707-A682-42BE-B9ED-5566B6DA9D8B}" name="عدد الدعاوى المحجوزة للحكم " dataDxfId="99" totalsRowDxfId="98"/>
    <tableColumn id="7" xr3:uid="{F940D2E5-83D1-440A-BD8A-A5E1847D19E4}" name="المتبقي للتداول" dataDxfId="97" totalsRowDxfId="96"/>
    <tableColumn id="5" xr3:uid="{682E230E-04C7-43D0-84FD-2483C9215B6B}" name="احكام اليوم الواحد" dataDxfId="95" totalsRowDxfId="94"/>
    <tableColumn id="11" xr3:uid="{49600449-2D5B-4318-91C7-E36EDBD99E01}" name="عدد الجلسات الالكترونية" dataDxfId="93" totalsRowDxfId="9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A25CD22-CB79-400F-BC53-C59C436BA6AD}" name="الجدول4452234791011121336141516" displayName="الجدول4452234791011121336141516" ref="H3:P19" totalsRowShown="0" headerRowDxfId="91" dataDxfId="89" totalsRowDxfId="87" headerRowBorderDxfId="90" tableBorderDxfId="88">
  <autoFilter ref="H3:P19" xr:uid="{149A648F-31A5-45CB-B4A9-8C9072C0350D}"/>
  <tableColumns count="9">
    <tableColumn id="1" xr3:uid="{98275D9A-C066-4C00-B3B4-09CD5A446D97}" name="عدد الدعاوى المتداولة" dataDxfId="86" totalsRowDxfId="85"/>
    <tableColumn id="2" xr3:uid="{BDDB9FA0-F086-4F4D-8E8F-EDF4A630F463}" name="عدد الدعاوى المحكومة" dataDxfId="84" totalsRowDxfId="83"/>
    <tableColumn id="3" xr3:uid="{E443DC68-AB96-44B8-A8E8-879F7E8D0092}" name="الاحكام المتنوعه_x000a_(احالة+شطب+وقف)" dataDxfId="82" totalsRowDxfId="81"/>
    <tableColumn id="9" xr3:uid="{923BC16A-A106-47EA-A777-9D2FB6486DAC}" name="نسبة الإنجاز" dataDxfId="80" totalsRowDxfId="79">
      <calculatedColumnFormula>(الجدول4452234791011121336141516[[#This Row],[عدد الدعاوى المتداولة]]-الجدول4452234791011121336141516[[#This Row],[عدد الدعاوى المرحلة]])/الجدول4452234791011121336141516[[#This Row],[عدد الدعاوى المتداولة]]</calculatedColumnFormula>
    </tableColumn>
    <tableColumn id="8" xr3:uid="{9150D4FC-39B6-4C8D-93E6-F01592D3053F}" name="عدد الدعاوى المرحلة" dataDxfId="78" totalsRowDxfId="77"/>
    <tableColumn id="4" xr3:uid="{4E63E9FC-CBBE-4FD6-9A61-04882870AF16}" name="عدد الدعاوى المحجوزة للحكم " dataDxfId="76" totalsRowDxfId="75"/>
    <tableColumn id="7" xr3:uid="{7399BF9E-5F2D-4E68-9683-325139EEB3DA}" name="المتبقي للتداول" dataDxfId="74" totalsRowDxfId="73"/>
    <tableColumn id="5" xr3:uid="{ACD4F226-43ED-480C-B5F9-491E170C5191}" name="احكام اليوم الواحد" dataDxfId="72" totalsRowDxfId="71"/>
    <tableColumn id="11" xr3:uid="{36719C6E-5629-495B-B4B5-372E1F05689E}" name="عدد الجلسات الالكترونية" dataDxfId="70" totalsRowDxfId="6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F78A4B1-D841-489C-ACB9-09F3D721BF61}" name="الجدول445223479101112133614151617" displayName="الجدول445223479101112133614151617" ref="H3:P19" totalsRowShown="0" headerRowDxfId="68" dataDxfId="66" totalsRowDxfId="64" headerRowBorderDxfId="67" tableBorderDxfId="65">
  <autoFilter ref="H3:P19" xr:uid="{149A648F-31A5-45CB-B4A9-8C9072C0350D}"/>
  <tableColumns count="9">
    <tableColumn id="1" xr3:uid="{CF4F9DBA-28BA-4BAC-B4DB-0BB6EF01CE14}" name="عدد الدعاوى المتداولة" dataDxfId="63" totalsRowDxfId="62"/>
    <tableColumn id="2" xr3:uid="{6747AA71-BB75-4D0E-9B07-1109ACD6CD60}" name="عدد الدعاوى المحكومة" dataDxfId="61" totalsRowDxfId="60"/>
    <tableColumn id="3" xr3:uid="{35944904-E4EA-4DDB-A00C-CF02AB1C3DB7}" name="الاحكام المتنوعه_x000a_(احالة+شطب+وقف)" dataDxfId="59" totalsRowDxfId="58"/>
    <tableColumn id="9" xr3:uid="{055C2A03-73E4-47B2-9659-536A0C5C7B3B}" name="نسبة الإنجاز" dataDxfId="57" totalsRowDxfId="56">
      <calculatedColumnFormula>(الجدول445223479101112133614151617[[#This Row],[عدد الدعاوى المتداولة]]-الجدول445223479101112133614151617[[#This Row],[عدد الدعاوى المرحلة]])/الجدول445223479101112133614151617[[#This Row],[عدد الدعاوى المتداولة]]</calculatedColumnFormula>
    </tableColumn>
    <tableColumn id="8" xr3:uid="{037D50FD-1534-495A-A4CA-05B1F56BF26A}" name="عدد الدعاوى المرحلة" dataDxfId="55" totalsRowDxfId="54"/>
    <tableColumn id="4" xr3:uid="{C99C0F58-BDEA-4B5C-A95F-C52D12257FC6}" name="عدد الدعاوى المحجوزة للحكم " dataDxfId="53" totalsRowDxfId="52"/>
    <tableColumn id="7" xr3:uid="{780CC389-C9DB-4133-81AB-A9BE1532E3C3}" name="المتبقي للتداول" dataDxfId="51" totalsRowDxfId="50"/>
    <tableColumn id="5" xr3:uid="{19B855F0-3BD5-4F91-8F1A-6811A00DDC93}" name="احكام اليوم الواحد" dataDxfId="49" totalsRowDxfId="48"/>
    <tableColumn id="11" xr3:uid="{9F3607E7-5048-4F07-B8C4-23241954F9EB}" name="عدد الجلسات الالكترونية" dataDxfId="47" totalsRowDxfId="4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06A03F0-9641-4C4B-AF7D-32C8BF0AF539}" name="الجدول44522347910111213361415161718" displayName="الجدول44522347910111213361415161718" ref="H3:P19" totalsRowShown="0" headerRowDxfId="45" dataDxfId="43" totalsRowDxfId="41" headerRowBorderDxfId="44" tableBorderDxfId="42">
  <autoFilter ref="H3:P19" xr:uid="{149A648F-31A5-45CB-B4A9-8C9072C0350D}"/>
  <tableColumns count="9">
    <tableColumn id="1" xr3:uid="{B4AF3830-4BFA-43C5-9B69-0F9D27F366DC}" name="عدد الدعاوى المتداولة" dataDxfId="40" totalsRowDxfId="39"/>
    <tableColumn id="2" xr3:uid="{757C0CCE-44DA-4D8F-A4BC-C35FE570BA4F}" name="عدد الدعاوى المحكومة" dataDxfId="38" totalsRowDxfId="37"/>
    <tableColumn id="3" xr3:uid="{BA7D15D1-677E-4D3F-9C81-E8266DD822C5}" name="الاحكام المتنوعه_x000a_(احالة+شطب+وقف)" dataDxfId="36" totalsRowDxfId="35"/>
    <tableColumn id="9" xr3:uid="{D24CF22F-E02B-4244-B332-1179075A2912}" name="نسبة الإنجاز" dataDxfId="34" totalsRowDxfId="33">
      <calculatedColumnFormula>(الجدول44522347910111213361415161718[[#This Row],[عدد الدعاوى المتداولة]]-الجدول44522347910111213361415161718[[#This Row],[عدد الدعاوى المرحلة]])/الجدول44522347910111213361415161718[[#This Row],[عدد الدعاوى المتداولة]]</calculatedColumnFormula>
    </tableColumn>
    <tableColumn id="8" xr3:uid="{A0A8769A-B51E-4996-97FC-6C46BD78305C}" name="عدد الدعاوى المرحلة" dataDxfId="32" totalsRowDxfId="31"/>
    <tableColumn id="4" xr3:uid="{8FE5293C-8E43-4C27-B99B-F04933E1253C}" name="عدد الدعاوى المحجوزة للحكم " dataDxfId="30" totalsRowDxfId="29"/>
    <tableColumn id="7" xr3:uid="{D6BA2368-DCFD-4639-B869-087E639343DF}" name="المتبقي للتداول" dataDxfId="28" totalsRowDxfId="27"/>
    <tableColumn id="5" xr3:uid="{C0CCB77B-CCA8-4E03-A711-9DA747AFCDF5}" name="احكام اليوم الواحد" dataDxfId="26" totalsRowDxfId="25"/>
    <tableColumn id="11" xr3:uid="{6B5E0511-AA92-444F-A69B-CFAF523E154B}" name="عدد الجلسات الالكترونية" dataDxfId="24" totalsRowDxfId="23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85CB89E-BECC-4F28-8127-EA137A663F3B}" name="الجدول4452234791011121336141516171819" displayName="الجدول4452234791011121336141516171819" ref="H3:P19" totalsRowShown="0" headerRowDxfId="22" dataDxfId="20" totalsRowDxfId="18" headerRowBorderDxfId="21" tableBorderDxfId="19">
  <autoFilter ref="H3:P19" xr:uid="{149A648F-31A5-45CB-B4A9-8C9072C0350D}"/>
  <tableColumns count="9">
    <tableColumn id="1" xr3:uid="{C5EB8420-271B-4012-8881-3B30EDC7CDAE}" name="عدد الدعاوى المتداولة" dataDxfId="17" totalsRowDxfId="16"/>
    <tableColumn id="2" xr3:uid="{84B5C2DD-81AE-4EA7-973B-D161E2AEDEB6}" name="عدد الدعاوى المحكومة" dataDxfId="15" totalsRowDxfId="14"/>
    <tableColumn id="3" xr3:uid="{744A7708-EFFB-456D-BAD2-176F9FCE9BFC}" name="الاحكام المتنوعه_x000a_(احالة+شطب+وقف)" dataDxfId="13" totalsRowDxfId="12"/>
    <tableColumn id="9" xr3:uid="{B8831366-B09A-446D-9FD2-6D595313E96C}" name="نسبة الإنجاز" dataDxfId="11" totalsRowDxfId="10">
      <calculatedColumnFormula>(الجدول4452234791011121336141516171819[[#This Row],[عدد الدعاوى المتداولة]]-الجدول4452234791011121336141516171819[[#This Row],[عدد الدعاوى المرحلة]])/الجدول4452234791011121336141516171819[[#This Row],[عدد الدعاوى المتداولة]]</calculatedColumnFormula>
    </tableColumn>
    <tableColumn id="8" xr3:uid="{63582EE3-1384-4BD0-996A-05E231DAF9D0}" name="عدد الدعاوى المرحلة" dataDxfId="9" totalsRowDxfId="8"/>
    <tableColumn id="4" xr3:uid="{FD43E583-AC6D-4DB2-81C8-BA1CA1A7A660}" name="عدد الدعاوى المحجوزة للحكم " dataDxfId="7" totalsRowDxfId="6"/>
    <tableColumn id="7" xr3:uid="{5081A123-A274-4F6B-94C2-B9647D9110F9}" name="المتبقي للتداول" dataDxfId="5" totalsRowDxfId="4"/>
    <tableColumn id="5" xr3:uid="{48ECF30E-4C27-43DA-8DCB-6E0F311A7E53}" name="احكام اليوم الواحد" dataDxfId="3" totalsRowDxfId="2"/>
    <tableColumn id="11" xr3:uid="{232F79C1-1149-4333-99C1-FED73F27917F}" name="عدد الجلسات الالكترونية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0C43E0-01DA-49C5-82AF-DAAEC5EEB9A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cfd25f1-b39d-4136-a672-0dc14a8b74e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C0BE-5F33-4F3B-A7D7-ECF5529C9BDB}">
  <sheetPr codeName="Sheet8">
    <pageSetUpPr fitToPage="1"/>
  </sheetPr>
  <dimension ref="C2:P19"/>
  <sheetViews>
    <sheetView rightToLeft="1" tabSelected="1" topLeftCell="J13" zoomScale="30" zoomScaleNormal="30" workbookViewId="0">
      <selection activeCell="A3" sqref="A3:XFD3"/>
    </sheetView>
  </sheetViews>
  <sheetFormatPr defaultColWidth="8.7265625" defaultRowHeight="92.5" customHeight="1" x14ac:dyDescent="1.65"/>
  <cols>
    <col min="1" max="2" width="8.7265625" style="8"/>
    <col min="3" max="3" width="55.81640625" style="8" bestFit="1" customWidth="1"/>
    <col min="4" max="4" width="59.81640625" style="8" bestFit="1" customWidth="1"/>
    <col min="5" max="5" width="38.54296875" style="8" bestFit="1" customWidth="1"/>
    <col min="6" max="6" width="46.1796875" style="8" bestFit="1" customWidth="1"/>
    <col min="7" max="7" width="46.453125" style="8" bestFit="1" customWidth="1"/>
    <col min="8" max="8" width="61.90625" style="8" bestFit="1" customWidth="1"/>
    <col min="9" max="9" width="63.7265625" style="8" bestFit="1" customWidth="1"/>
    <col min="10" max="10" width="58.90625" style="8" bestFit="1" customWidth="1"/>
    <col min="11" max="11" width="43.08984375" style="8" bestFit="1" customWidth="1"/>
    <col min="12" max="12" width="59.1796875" style="8" bestFit="1" customWidth="1"/>
    <col min="13" max="13" width="77.36328125" style="8" bestFit="1" customWidth="1"/>
    <col min="14" max="14" width="46.7265625" style="8" bestFit="1" customWidth="1"/>
    <col min="15" max="15" width="56.1796875" style="8" bestFit="1" customWidth="1"/>
    <col min="16" max="16" width="68.90625" style="8" bestFit="1" customWidth="1"/>
    <col min="17" max="16384" width="8.7265625" style="8"/>
  </cols>
  <sheetData>
    <row r="2" spans="3:16" ht="92.5" customHeight="1" x14ac:dyDescent="1.65">
      <c r="C2" s="17" t="s">
        <v>47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6"/>
    </row>
    <row r="3" spans="3:16" ht="92.5" customHeight="1" x14ac:dyDescent="1.65">
      <c r="C3" s="1" t="s">
        <v>0</v>
      </c>
      <c r="D3" s="3" t="s">
        <v>37</v>
      </c>
      <c r="E3" s="3" t="s">
        <v>38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39</v>
      </c>
      <c r="K3" s="3" t="s">
        <v>40</v>
      </c>
      <c r="L3" s="9" t="s">
        <v>6</v>
      </c>
      <c r="M3" s="9" t="s">
        <v>41</v>
      </c>
      <c r="N3" s="3" t="s">
        <v>42</v>
      </c>
      <c r="O3" s="3" t="s">
        <v>5</v>
      </c>
      <c r="P3" s="7" t="s">
        <v>44</v>
      </c>
    </row>
    <row r="4" spans="3:16" ht="92.5" customHeight="1" x14ac:dyDescent="1.65">
      <c r="C4" s="1" t="s">
        <v>77</v>
      </c>
      <c r="D4" s="1" t="s">
        <v>7</v>
      </c>
      <c r="E4" s="1" t="s">
        <v>8</v>
      </c>
      <c r="F4" s="4">
        <v>43</v>
      </c>
      <c r="G4" s="4">
        <v>16</v>
      </c>
      <c r="H4" s="4">
        <v>36</v>
      </c>
      <c r="I4" s="4">
        <v>17</v>
      </c>
      <c r="J4" s="4">
        <v>1</v>
      </c>
      <c r="K4" s="12">
        <v>0.56000000000000005</v>
      </c>
      <c r="L4" s="4">
        <v>10</v>
      </c>
      <c r="M4" s="4">
        <v>6</v>
      </c>
      <c r="N4" s="10">
        <v>16</v>
      </c>
      <c r="O4" s="4">
        <v>0</v>
      </c>
      <c r="P4" s="4">
        <v>0</v>
      </c>
    </row>
    <row r="5" spans="3:16" ht="92.5" customHeight="1" x14ac:dyDescent="1.65">
      <c r="C5" s="1" t="s">
        <v>78</v>
      </c>
      <c r="D5" s="1" t="s">
        <v>31</v>
      </c>
      <c r="E5" s="1" t="s">
        <v>26</v>
      </c>
      <c r="F5" s="4">
        <v>134</v>
      </c>
      <c r="G5" s="4">
        <v>50</v>
      </c>
      <c r="H5" s="4">
        <v>138</v>
      </c>
      <c r="I5" s="4">
        <v>85</v>
      </c>
      <c r="J5" s="4">
        <v>2</v>
      </c>
      <c r="K5" s="12">
        <v>0.72</v>
      </c>
      <c r="L5" s="4">
        <v>30</v>
      </c>
      <c r="M5" s="4">
        <v>9</v>
      </c>
      <c r="N5" s="10">
        <v>39</v>
      </c>
      <c r="O5" s="4">
        <v>10</v>
      </c>
      <c r="P5" s="4">
        <v>5</v>
      </c>
    </row>
    <row r="6" spans="3:16" ht="92.5" customHeight="1" x14ac:dyDescent="1.65">
      <c r="C6" s="1" t="s">
        <v>79</v>
      </c>
      <c r="D6" s="1" t="s">
        <v>10</v>
      </c>
      <c r="E6" s="1" t="s">
        <v>11</v>
      </c>
      <c r="F6" s="4">
        <v>36</v>
      </c>
      <c r="G6" s="4">
        <v>22</v>
      </c>
      <c r="H6" s="4">
        <v>74</v>
      </c>
      <c r="I6" s="4">
        <v>57</v>
      </c>
      <c r="J6" s="4">
        <v>1</v>
      </c>
      <c r="K6" s="12">
        <v>0.78</v>
      </c>
      <c r="L6" s="4">
        <v>3</v>
      </c>
      <c r="M6" s="4">
        <v>13</v>
      </c>
      <c r="N6" s="10">
        <v>16</v>
      </c>
      <c r="O6" s="4">
        <v>5</v>
      </c>
      <c r="P6" s="4">
        <v>3</v>
      </c>
    </row>
    <row r="7" spans="3:16" ht="92.5" customHeight="1" x14ac:dyDescent="1.65">
      <c r="C7" s="1" t="s">
        <v>80</v>
      </c>
      <c r="D7" s="1" t="s">
        <v>32</v>
      </c>
      <c r="E7" s="1" t="s">
        <v>9</v>
      </c>
      <c r="F7" s="4">
        <v>105</v>
      </c>
      <c r="G7" s="4">
        <v>59</v>
      </c>
      <c r="H7" s="4">
        <v>158</v>
      </c>
      <c r="I7" s="4">
        <v>103</v>
      </c>
      <c r="J7" s="4">
        <v>6</v>
      </c>
      <c r="K7" s="12">
        <v>0.75</v>
      </c>
      <c r="L7" s="4">
        <v>39</v>
      </c>
      <c r="M7" s="4">
        <v>0</v>
      </c>
      <c r="N7" s="10">
        <v>39</v>
      </c>
      <c r="O7" s="4">
        <v>5</v>
      </c>
      <c r="P7" s="4">
        <v>0</v>
      </c>
    </row>
    <row r="8" spans="3:16" ht="92.5" customHeight="1" x14ac:dyDescent="1.65">
      <c r="C8" s="1" t="s">
        <v>81</v>
      </c>
      <c r="D8" s="1" t="s">
        <v>13</v>
      </c>
      <c r="E8" s="1" t="s">
        <v>14</v>
      </c>
      <c r="F8" s="4">
        <v>116</v>
      </c>
      <c r="G8" s="4">
        <v>53</v>
      </c>
      <c r="H8" s="4">
        <v>162</v>
      </c>
      <c r="I8" s="4">
        <v>90</v>
      </c>
      <c r="J8" s="4">
        <v>6</v>
      </c>
      <c r="K8" s="12">
        <v>0.71</v>
      </c>
      <c r="L8" s="4">
        <v>41</v>
      </c>
      <c r="M8" s="4">
        <v>6</v>
      </c>
      <c r="N8" s="10">
        <v>47</v>
      </c>
      <c r="O8" s="4">
        <v>9</v>
      </c>
      <c r="P8" s="4">
        <v>3</v>
      </c>
    </row>
    <row r="9" spans="3:16" ht="92.5" customHeight="1" x14ac:dyDescent="1.65">
      <c r="C9" s="1" t="s">
        <v>82</v>
      </c>
      <c r="D9" s="1" t="s">
        <v>15</v>
      </c>
      <c r="E9" s="1" t="s">
        <v>33</v>
      </c>
      <c r="F9" s="4">
        <v>1</v>
      </c>
      <c r="G9" s="4">
        <v>12</v>
      </c>
      <c r="H9" s="4">
        <v>17</v>
      </c>
      <c r="I9" s="4">
        <v>12</v>
      </c>
      <c r="J9" s="4">
        <v>5</v>
      </c>
      <c r="K9" s="12">
        <v>1</v>
      </c>
      <c r="L9" s="4">
        <v>0</v>
      </c>
      <c r="M9" s="4">
        <v>0</v>
      </c>
      <c r="N9" s="10">
        <v>0</v>
      </c>
      <c r="O9" s="4">
        <v>3</v>
      </c>
      <c r="P9" s="4">
        <v>0</v>
      </c>
    </row>
    <row r="10" spans="3:16" ht="92.5" customHeight="1" x14ac:dyDescent="1.65">
      <c r="C10" s="1" t="s">
        <v>83</v>
      </c>
      <c r="D10" s="1" t="s">
        <v>16</v>
      </c>
      <c r="E10" s="1" t="s">
        <v>17</v>
      </c>
      <c r="F10" s="4">
        <v>70</v>
      </c>
      <c r="G10" s="4">
        <v>58</v>
      </c>
      <c r="H10" s="4">
        <v>122</v>
      </c>
      <c r="I10" s="4">
        <v>90</v>
      </c>
      <c r="J10" s="4">
        <v>1</v>
      </c>
      <c r="K10" s="12">
        <v>0.85</v>
      </c>
      <c r="L10" s="4">
        <v>18</v>
      </c>
      <c r="M10" s="4">
        <v>0</v>
      </c>
      <c r="N10" s="10">
        <v>18</v>
      </c>
      <c r="O10" s="4">
        <v>25</v>
      </c>
      <c r="P10" s="4">
        <v>4</v>
      </c>
    </row>
    <row r="11" spans="3:16" ht="92.5" customHeight="1" x14ac:dyDescent="1.65">
      <c r="C11" s="1" t="s">
        <v>84</v>
      </c>
      <c r="D11" s="1" t="s">
        <v>18</v>
      </c>
      <c r="E11" s="1" t="s">
        <v>28</v>
      </c>
      <c r="F11" s="10">
        <v>63</v>
      </c>
      <c r="G11" s="10">
        <v>29</v>
      </c>
      <c r="H11" s="11">
        <v>94</v>
      </c>
      <c r="I11" s="11">
        <v>63</v>
      </c>
      <c r="J11" s="4">
        <v>0</v>
      </c>
      <c r="K11" s="12">
        <v>0.68</v>
      </c>
      <c r="L11" s="4">
        <v>25</v>
      </c>
      <c r="M11" s="4">
        <v>5</v>
      </c>
      <c r="N11" s="10">
        <v>30</v>
      </c>
      <c r="O11" s="4">
        <v>19</v>
      </c>
      <c r="P11" s="4">
        <v>0</v>
      </c>
    </row>
    <row r="12" spans="3:16" ht="92.5" customHeight="1" x14ac:dyDescent="1.65">
      <c r="C12" s="1" t="s">
        <v>85</v>
      </c>
      <c r="D12" s="1" t="s">
        <v>19</v>
      </c>
      <c r="E12" s="1" t="s">
        <v>20</v>
      </c>
      <c r="F12" s="4">
        <v>42</v>
      </c>
      <c r="G12" s="4">
        <v>36</v>
      </c>
      <c r="H12" s="11">
        <v>55</v>
      </c>
      <c r="I12" s="11">
        <v>36</v>
      </c>
      <c r="J12" s="4">
        <v>0</v>
      </c>
      <c r="K12" s="12">
        <v>0.69</v>
      </c>
      <c r="L12" s="4">
        <v>10</v>
      </c>
      <c r="M12" s="4">
        <v>7</v>
      </c>
      <c r="N12" s="4">
        <v>17</v>
      </c>
      <c r="O12" s="4">
        <v>9</v>
      </c>
      <c r="P12" s="4">
        <v>1</v>
      </c>
    </row>
    <row r="13" spans="3:16" ht="92.5" customHeight="1" x14ac:dyDescent="1.65">
      <c r="C13" s="1" t="s">
        <v>86</v>
      </c>
      <c r="D13" s="1" t="s">
        <v>21</v>
      </c>
      <c r="E13" s="1" t="s">
        <v>34</v>
      </c>
      <c r="F13" s="4">
        <v>64</v>
      </c>
      <c r="G13" s="4">
        <v>63</v>
      </c>
      <c r="H13" s="11">
        <v>80</v>
      </c>
      <c r="I13" s="11">
        <v>66</v>
      </c>
      <c r="J13" s="4">
        <v>1</v>
      </c>
      <c r="K13" s="12">
        <v>0.91</v>
      </c>
      <c r="L13" s="4">
        <v>7</v>
      </c>
      <c r="M13" s="4">
        <v>0</v>
      </c>
      <c r="N13" s="4">
        <v>7</v>
      </c>
      <c r="O13" s="4">
        <v>63</v>
      </c>
      <c r="P13" s="4">
        <v>0</v>
      </c>
    </row>
    <row r="14" spans="3:16" ht="92.5" customHeight="1" x14ac:dyDescent="1.65">
      <c r="C14" s="1" t="s">
        <v>87</v>
      </c>
      <c r="D14" s="1" t="s">
        <v>22</v>
      </c>
      <c r="E14" s="1" t="s">
        <v>23</v>
      </c>
      <c r="F14" s="4">
        <v>90</v>
      </c>
      <c r="G14" s="4">
        <v>37</v>
      </c>
      <c r="H14" s="11">
        <v>132</v>
      </c>
      <c r="I14" s="11">
        <v>106</v>
      </c>
      <c r="J14" s="4">
        <v>0</v>
      </c>
      <c r="K14" s="12">
        <v>0.89</v>
      </c>
      <c r="L14" s="4">
        <v>14</v>
      </c>
      <c r="M14" s="4">
        <v>0</v>
      </c>
      <c r="N14" s="4">
        <v>14</v>
      </c>
      <c r="O14" s="4">
        <v>95</v>
      </c>
      <c r="P14" s="4">
        <v>0</v>
      </c>
    </row>
    <row r="15" spans="3:16" ht="92.5" customHeight="1" x14ac:dyDescent="1.65">
      <c r="C15" s="1" t="s">
        <v>88</v>
      </c>
      <c r="D15" s="1" t="s">
        <v>24</v>
      </c>
      <c r="E15" s="1" t="s">
        <v>25</v>
      </c>
      <c r="F15" s="4">
        <v>24</v>
      </c>
      <c r="G15" s="4">
        <v>24</v>
      </c>
      <c r="H15" s="11">
        <v>69</v>
      </c>
      <c r="I15" s="11">
        <v>48</v>
      </c>
      <c r="J15" s="4">
        <v>0</v>
      </c>
      <c r="K15" s="12">
        <v>0.84</v>
      </c>
      <c r="L15" s="4">
        <v>9</v>
      </c>
      <c r="M15" s="4">
        <v>2</v>
      </c>
      <c r="N15" s="4">
        <v>11</v>
      </c>
      <c r="O15" s="4">
        <v>8</v>
      </c>
      <c r="P15" s="4">
        <v>0</v>
      </c>
    </row>
    <row r="16" spans="3:16" ht="92.5" customHeight="1" x14ac:dyDescent="1.65">
      <c r="C16" s="1" t="s">
        <v>89</v>
      </c>
      <c r="D16" s="1" t="s">
        <v>43</v>
      </c>
      <c r="E16" s="1" t="s">
        <v>35</v>
      </c>
      <c r="F16" s="4">
        <v>54</v>
      </c>
      <c r="G16" s="4">
        <v>39</v>
      </c>
      <c r="H16" s="11">
        <v>43</v>
      </c>
      <c r="I16" s="11">
        <v>25</v>
      </c>
      <c r="J16" s="4">
        <v>0</v>
      </c>
      <c r="K16" s="12">
        <v>0.65</v>
      </c>
      <c r="L16" s="4">
        <v>15</v>
      </c>
      <c r="M16" s="4">
        <v>0</v>
      </c>
      <c r="N16" s="4">
        <v>15</v>
      </c>
      <c r="O16" s="4">
        <v>9</v>
      </c>
      <c r="P16" s="4">
        <v>0</v>
      </c>
    </row>
    <row r="17" spans="3:16" ht="92.5" customHeight="1" x14ac:dyDescent="1.65">
      <c r="C17" s="1" t="s">
        <v>90</v>
      </c>
      <c r="D17" s="1" t="s">
        <v>30</v>
      </c>
      <c r="E17" s="1" t="s">
        <v>27</v>
      </c>
      <c r="F17" s="4">
        <v>43</v>
      </c>
      <c r="G17" s="4">
        <v>16</v>
      </c>
      <c r="H17" s="11">
        <v>101</v>
      </c>
      <c r="I17" s="11">
        <v>55</v>
      </c>
      <c r="J17" s="4">
        <v>2</v>
      </c>
      <c r="K17" s="12">
        <v>0.62</v>
      </c>
      <c r="L17" s="4">
        <v>19</v>
      </c>
      <c r="M17" s="4">
        <v>19</v>
      </c>
      <c r="N17" s="4">
        <v>38</v>
      </c>
      <c r="O17" s="4">
        <v>10</v>
      </c>
      <c r="P17" s="4">
        <v>0</v>
      </c>
    </row>
    <row r="18" spans="3:16" ht="92.5" customHeight="1" x14ac:dyDescent="1.65">
      <c r="C18" s="1" t="s">
        <v>91</v>
      </c>
      <c r="D18" s="1" t="s">
        <v>36</v>
      </c>
      <c r="E18" s="1" t="s">
        <v>12</v>
      </c>
      <c r="F18" s="4">
        <v>134</v>
      </c>
      <c r="G18" s="4">
        <v>50</v>
      </c>
      <c r="H18" s="11">
        <v>23</v>
      </c>
      <c r="I18" s="11">
        <v>5</v>
      </c>
      <c r="J18" s="4">
        <v>1</v>
      </c>
      <c r="K18" s="12">
        <v>0.26</v>
      </c>
      <c r="L18" s="4">
        <v>13</v>
      </c>
      <c r="M18" s="4">
        <v>4</v>
      </c>
      <c r="N18" s="4">
        <v>17</v>
      </c>
      <c r="O18" s="4">
        <v>0</v>
      </c>
      <c r="P18" s="4">
        <v>2</v>
      </c>
    </row>
    <row r="19" spans="3:16" ht="92.5" customHeight="1" x14ac:dyDescent="1.65">
      <c r="C19" s="21" t="s">
        <v>29</v>
      </c>
      <c r="D19" s="21"/>
      <c r="E19" s="21"/>
      <c r="F19" s="5">
        <f>SUM(F4:F18)</f>
        <v>1019</v>
      </c>
      <c r="G19" s="5">
        <f t="shared" ref="G19:J19" si="0">SUM(G4:G18)</f>
        <v>564</v>
      </c>
      <c r="H19" s="5">
        <f t="shared" si="0"/>
        <v>1304</v>
      </c>
      <c r="I19" s="5">
        <f t="shared" si="0"/>
        <v>858</v>
      </c>
      <c r="J19" s="5">
        <f t="shared" si="0"/>
        <v>26</v>
      </c>
      <c r="K19" s="2">
        <v>0.75</v>
      </c>
      <c r="L19" s="5">
        <f>SUM(L4:L18)</f>
        <v>253</v>
      </c>
      <c r="M19" s="5">
        <f t="shared" ref="M19" si="1">SUM(M4:M18)</f>
        <v>71</v>
      </c>
      <c r="N19" s="5">
        <f>SUM(N4:N18)</f>
        <v>324</v>
      </c>
      <c r="O19" s="5">
        <f t="shared" ref="O19:P19" si="2">SUM(O4:O18)</f>
        <v>270</v>
      </c>
      <c r="P19" s="5">
        <f t="shared" si="2"/>
        <v>18</v>
      </c>
    </row>
  </sheetData>
  <protectedRanges>
    <protectedRange sqref="I11:I18" name="entry area_1_2"/>
  </protectedRanges>
  <mergeCells count="1">
    <mergeCell ref="C19:E19"/>
  </mergeCells>
  <dataValidations count="1">
    <dataValidation type="whole" allowBlank="1" showInputMessage="1" showErrorMessage="1" sqref="I11:I18" xr:uid="{FFC8BC04-48FA-4F61-BEDD-5BD4A73882D9}">
      <formula1>0</formula1>
      <formula2>500000</formula2>
    </dataValidation>
  </dataValidations>
  <pageMargins left="0.7" right="0.7" top="0.75" bottom="0.75" header="0.3" footer="0.3"/>
  <pageSetup paperSize="9" scale="14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7891-8EAF-4CF4-A70D-A93351C8BCCF}">
  <sheetPr codeName="Sheet9">
    <pageSetUpPr fitToPage="1"/>
  </sheetPr>
  <dimension ref="C2:P19"/>
  <sheetViews>
    <sheetView rightToLeft="1" topLeftCell="G13" zoomScale="30" zoomScaleNormal="30" workbookViewId="0">
      <selection activeCell="K19" sqref="K19"/>
    </sheetView>
  </sheetViews>
  <sheetFormatPr defaultColWidth="8.7265625" defaultRowHeight="92.5" customHeight="1" x14ac:dyDescent="1.65"/>
  <cols>
    <col min="1" max="1" width="8.7265625" style="8"/>
    <col min="2" max="2" width="8.7265625" style="8" customWidth="1"/>
    <col min="3" max="3" width="55.81640625" style="8" bestFit="1" customWidth="1"/>
    <col min="4" max="4" width="59.81640625" style="8" bestFit="1" customWidth="1"/>
    <col min="5" max="5" width="38.54296875" style="8" bestFit="1" customWidth="1"/>
    <col min="6" max="6" width="46.1796875" style="8" bestFit="1" customWidth="1"/>
    <col min="7" max="7" width="46.453125" style="8" bestFit="1" customWidth="1"/>
    <col min="8" max="8" width="61.90625" style="8" bestFit="1" customWidth="1"/>
    <col min="9" max="9" width="63.7265625" style="8" bestFit="1" customWidth="1"/>
    <col min="10" max="10" width="58.90625" style="8" bestFit="1" customWidth="1"/>
    <col min="11" max="11" width="43.08984375" style="8" bestFit="1" customWidth="1"/>
    <col min="12" max="12" width="59.1796875" style="8" bestFit="1" customWidth="1"/>
    <col min="13" max="13" width="77.36328125" style="8" bestFit="1" customWidth="1"/>
    <col min="14" max="14" width="46.7265625" style="8" bestFit="1" customWidth="1"/>
    <col min="15" max="15" width="56.1796875" style="8" bestFit="1" customWidth="1"/>
    <col min="16" max="16" width="68.90625" style="8" bestFit="1" customWidth="1"/>
    <col min="17" max="16384" width="8.7265625" style="8"/>
  </cols>
  <sheetData>
    <row r="2" spans="3:16" ht="92.5" customHeight="1" x14ac:dyDescent="1.65">
      <c r="C2" s="17" t="s">
        <v>48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6"/>
    </row>
    <row r="3" spans="3:16" ht="92.5" customHeight="1" x14ac:dyDescent="1.65">
      <c r="C3" s="1" t="s">
        <v>0</v>
      </c>
      <c r="D3" s="3" t="s">
        <v>37</v>
      </c>
      <c r="E3" s="3" t="s">
        <v>38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39</v>
      </c>
      <c r="K3" s="3" t="s">
        <v>40</v>
      </c>
      <c r="L3" s="9" t="s">
        <v>6</v>
      </c>
      <c r="M3" s="9" t="s">
        <v>41</v>
      </c>
      <c r="N3" s="3" t="s">
        <v>42</v>
      </c>
      <c r="O3" s="3" t="s">
        <v>5</v>
      </c>
      <c r="P3" s="7" t="s">
        <v>44</v>
      </c>
    </row>
    <row r="4" spans="3:16" ht="92.5" customHeight="1" x14ac:dyDescent="1.65">
      <c r="C4" s="1" t="s">
        <v>77</v>
      </c>
      <c r="D4" s="1" t="s">
        <v>7</v>
      </c>
      <c r="E4" s="1" t="s">
        <v>8</v>
      </c>
      <c r="F4" s="4">
        <v>58</v>
      </c>
      <c r="G4" s="4">
        <v>12</v>
      </c>
      <c r="H4" s="4">
        <v>30</v>
      </c>
      <c r="I4" s="4">
        <v>11</v>
      </c>
      <c r="J4" s="4">
        <v>0</v>
      </c>
      <c r="K4" s="12">
        <v>0.37</v>
      </c>
      <c r="L4" s="4">
        <v>19</v>
      </c>
      <c r="M4" s="4">
        <v>4</v>
      </c>
      <c r="N4" s="10">
        <v>15</v>
      </c>
      <c r="O4" s="4">
        <v>0</v>
      </c>
      <c r="P4" s="4">
        <v>0</v>
      </c>
    </row>
    <row r="5" spans="3:16" ht="92.5" customHeight="1" x14ac:dyDescent="1.65">
      <c r="C5" s="1" t="s">
        <v>78</v>
      </c>
      <c r="D5" s="1" t="s">
        <v>31</v>
      </c>
      <c r="E5" s="1" t="s">
        <v>26</v>
      </c>
      <c r="F5" s="4">
        <v>119</v>
      </c>
      <c r="G5" s="4">
        <v>86</v>
      </c>
      <c r="H5" s="4">
        <v>117</v>
      </c>
      <c r="I5" s="4">
        <v>55</v>
      </c>
      <c r="J5" s="4">
        <v>0</v>
      </c>
      <c r="K5" s="12">
        <v>0.5</v>
      </c>
      <c r="L5" s="4">
        <v>58</v>
      </c>
      <c r="M5" s="4">
        <v>17</v>
      </c>
      <c r="N5" s="10">
        <v>41</v>
      </c>
      <c r="O5" s="4">
        <v>16</v>
      </c>
      <c r="P5" s="4">
        <v>20</v>
      </c>
    </row>
    <row r="6" spans="3:16" ht="92.5" customHeight="1" x14ac:dyDescent="1.65">
      <c r="C6" s="1" t="s">
        <v>79</v>
      </c>
      <c r="D6" s="1" t="s">
        <v>10</v>
      </c>
      <c r="E6" s="1" t="s">
        <v>11</v>
      </c>
      <c r="F6" s="4">
        <v>34</v>
      </c>
      <c r="G6" s="4">
        <v>53</v>
      </c>
      <c r="H6" s="4">
        <v>65</v>
      </c>
      <c r="I6" s="4">
        <v>38</v>
      </c>
      <c r="J6" s="4">
        <v>2</v>
      </c>
      <c r="K6" s="12">
        <v>0.62</v>
      </c>
      <c r="L6" s="4">
        <v>25</v>
      </c>
      <c r="M6" s="4">
        <v>12</v>
      </c>
      <c r="N6" s="10">
        <v>13</v>
      </c>
      <c r="O6" s="4">
        <v>10</v>
      </c>
      <c r="P6" s="4">
        <v>7</v>
      </c>
    </row>
    <row r="7" spans="3:16" ht="92.5" customHeight="1" x14ac:dyDescent="1.65">
      <c r="C7" s="1" t="s">
        <v>80</v>
      </c>
      <c r="D7" s="1" t="s">
        <v>32</v>
      </c>
      <c r="E7" s="1" t="s">
        <v>9</v>
      </c>
      <c r="F7" s="4">
        <v>79</v>
      </c>
      <c r="G7" s="4">
        <v>45</v>
      </c>
      <c r="H7" s="4">
        <v>95</v>
      </c>
      <c r="I7" s="4">
        <v>61</v>
      </c>
      <c r="J7" s="4">
        <v>3</v>
      </c>
      <c r="K7" s="12">
        <v>0.83</v>
      </c>
      <c r="L7" s="4">
        <v>16</v>
      </c>
      <c r="M7" s="4">
        <v>0</v>
      </c>
      <c r="N7" s="10">
        <v>16</v>
      </c>
      <c r="O7" s="4">
        <v>1</v>
      </c>
      <c r="P7" s="4">
        <v>5</v>
      </c>
    </row>
    <row r="8" spans="3:16" ht="92.5" customHeight="1" x14ac:dyDescent="1.65">
      <c r="C8" s="1" t="s">
        <v>81</v>
      </c>
      <c r="D8" s="1" t="s">
        <v>13</v>
      </c>
      <c r="E8" s="1" t="s">
        <v>14</v>
      </c>
      <c r="F8" s="4">
        <v>80</v>
      </c>
      <c r="G8" s="4">
        <v>54</v>
      </c>
      <c r="H8" s="4">
        <v>98</v>
      </c>
      <c r="I8" s="4">
        <v>61</v>
      </c>
      <c r="J8" s="4">
        <v>0</v>
      </c>
      <c r="K8" s="12">
        <v>0.66</v>
      </c>
      <c r="L8" s="4">
        <v>33</v>
      </c>
      <c r="M8" s="4">
        <v>1</v>
      </c>
      <c r="N8" s="10">
        <v>32</v>
      </c>
      <c r="O8" s="4">
        <v>2</v>
      </c>
      <c r="P8" s="4">
        <v>12</v>
      </c>
    </row>
    <row r="9" spans="3:16" ht="92.5" customHeight="1" x14ac:dyDescent="1.65">
      <c r="C9" s="1" t="s">
        <v>82</v>
      </c>
      <c r="D9" s="1" t="s">
        <v>15</v>
      </c>
      <c r="E9" s="1" t="s">
        <v>33</v>
      </c>
      <c r="F9" s="4">
        <v>15</v>
      </c>
      <c r="G9" s="4">
        <v>48</v>
      </c>
      <c r="H9" s="4">
        <v>35</v>
      </c>
      <c r="I9" s="4">
        <v>17</v>
      </c>
      <c r="J9" s="4">
        <v>4</v>
      </c>
      <c r="K9" s="12">
        <v>0.6</v>
      </c>
      <c r="L9" s="4">
        <v>14</v>
      </c>
      <c r="M9" s="4">
        <v>7</v>
      </c>
      <c r="N9" s="10">
        <v>7</v>
      </c>
      <c r="O9" s="4">
        <v>0</v>
      </c>
      <c r="P9" s="4">
        <v>0</v>
      </c>
    </row>
    <row r="10" spans="3:16" ht="92.5" customHeight="1" x14ac:dyDescent="1.65">
      <c r="C10" s="1" t="s">
        <v>83</v>
      </c>
      <c r="D10" s="1" t="s">
        <v>16</v>
      </c>
      <c r="E10" s="1" t="s">
        <v>17</v>
      </c>
      <c r="F10" s="4">
        <v>85</v>
      </c>
      <c r="G10" s="4">
        <v>75</v>
      </c>
      <c r="H10" s="4">
        <v>90</v>
      </c>
      <c r="I10" s="4">
        <v>60</v>
      </c>
      <c r="J10" s="4">
        <v>2</v>
      </c>
      <c r="K10" s="12">
        <v>0.81</v>
      </c>
      <c r="L10" s="4">
        <v>17</v>
      </c>
      <c r="M10" s="4">
        <v>0</v>
      </c>
      <c r="N10" s="10">
        <v>17</v>
      </c>
      <c r="O10" s="4">
        <v>17</v>
      </c>
      <c r="P10" s="4">
        <v>4</v>
      </c>
    </row>
    <row r="11" spans="3:16" ht="92.5" customHeight="1" x14ac:dyDescent="1.65">
      <c r="C11" s="1" t="s">
        <v>84</v>
      </c>
      <c r="D11" s="1" t="s">
        <v>18</v>
      </c>
      <c r="E11" s="1" t="s">
        <v>28</v>
      </c>
      <c r="F11" s="10">
        <v>60</v>
      </c>
      <c r="G11" s="10">
        <v>40</v>
      </c>
      <c r="H11" s="11">
        <v>66</v>
      </c>
      <c r="I11" s="11">
        <v>33</v>
      </c>
      <c r="J11" s="4">
        <v>0</v>
      </c>
      <c r="K11" s="12">
        <v>0.5</v>
      </c>
      <c r="L11" s="4">
        <v>33</v>
      </c>
      <c r="M11" s="4">
        <v>24</v>
      </c>
      <c r="N11" s="10">
        <v>9</v>
      </c>
      <c r="O11" s="4">
        <v>21</v>
      </c>
      <c r="P11" s="4">
        <v>0</v>
      </c>
    </row>
    <row r="12" spans="3:16" ht="92.5" customHeight="1" x14ac:dyDescent="1.65">
      <c r="C12" s="1" t="s">
        <v>85</v>
      </c>
      <c r="D12" s="1" t="s">
        <v>19</v>
      </c>
      <c r="E12" s="1" t="s">
        <v>20</v>
      </c>
      <c r="F12" s="4">
        <v>41</v>
      </c>
      <c r="G12" s="4">
        <v>38</v>
      </c>
      <c r="H12" s="11">
        <v>56</v>
      </c>
      <c r="I12" s="11">
        <v>26</v>
      </c>
      <c r="J12" s="4">
        <v>2</v>
      </c>
      <c r="K12" s="12">
        <v>0.59</v>
      </c>
      <c r="L12" s="4">
        <v>23</v>
      </c>
      <c r="M12" s="4">
        <v>18</v>
      </c>
      <c r="N12" s="4">
        <v>5</v>
      </c>
      <c r="O12" s="4">
        <v>1</v>
      </c>
      <c r="P12" s="4">
        <v>2</v>
      </c>
    </row>
    <row r="13" spans="3:16" ht="92.5" customHeight="1" x14ac:dyDescent="1.65">
      <c r="C13" s="1" t="s">
        <v>86</v>
      </c>
      <c r="D13" s="1" t="s">
        <v>21</v>
      </c>
      <c r="E13" s="1" t="s">
        <v>34</v>
      </c>
      <c r="F13" s="4">
        <v>50</v>
      </c>
      <c r="G13" s="4">
        <v>45</v>
      </c>
      <c r="H13" s="11">
        <v>52</v>
      </c>
      <c r="I13" s="11">
        <v>43</v>
      </c>
      <c r="J13" s="4">
        <v>1</v>
      </c>
      <c r="K13" s="12">
        <v>0.92</v>
      </c>
      <c r="L13" s="4">
        <v>4</v>
      </c>
      <c r="M13" s="4">
        <v>0</v>
      </c>
      <c r="N13" s="4">
        <v>4</v>
      </c>
      <c r="O13" s="4">
        <v>43</v>
      </c>
      <c r="P13" s="4">
        <v>6</v>
      </c>
    </row>
    <row r="14" spans="3:16" ht="92.5" customHeight="1" x14ac:dyDescent="1.65">
      <c r="C14" s="1" t="s">
        <v>87</v>
      </c>
      <c r="D14" s="1" t="s">
        <v>22</v>
      </c>
      <c r="E14" s="1" t="s">
        <v>23</v>
      </c>
      <c r="F14" s="4">
        <v>60</v>
      </c>
      <c r="G14" s="4">
        <v>44</v>
      </c>
      <c r="H14" s="11">
        <v>64</v>
      </c>
      <c r="I14" s="11">
        <v>53</v>
      </c>
      <c r="J14" s="4">
        <v>0</v>
      </c>
      <c r="K14" s="12">
        <v>0.88</v>
      </c>
      <c r="L14" s="4">
        <v>8</v>
      </c>
      <c r="M14" s="4">
        <v>0</v>
      </c>
      <c r="N14" s="4">
        <v>8</v>
      </c>
      <c r="O14" s="4">
        <v>47</v>
      </c>
      <c r="P14" s="4">
        <v>2</v>
      </c>
    </row>
    <row r="15" spans="3:16" ht="92.5" customHeight="1" x14ac:dyDescent="1.65">
      <c r="C15" s="1" t="s">
        <v>88</v>
      </c>
      <c r="D15" s="1" t="s">
        <v>24</v>
      </c>
      <c r="E15" s="1" t="s">
        <v>25</v>
      </c>
      <c r="F15" s="4">
        <v>22</v>
      </c>
      <c r="G15" s="4">
        <v>41</v>
      </c>
      <c r="H15" s="11">
        <v>48</v>
      </c>
      <c r="I15" s="11">
        <v>34</v>
      </c>
      <c r="J15" s="4">
        <v>0</v>
      </c>
      <c r="K15" s="12">
        <v>0.73</v>
      </c>
      <c r="L15" s="4">
        <v>13</v>
      </c>
      <c r="M15" s="4">
        <v>0</v>
      </c>
      <c r="N15" s="4">
        <v>13</v>
      </c>
      <c r="O15" s="4">
        <v>13</v>
      </c>
      <c r="P15" s="4">
        <v>0</v>
      </c>
    </row>
    <row r="16" spans="3:16" ht="92.5" customHeight="1" x14ac:dyDescent="1.65">
      <c r="C16" s="1" t="s">
        <v>89</v>
      </c>
      <c r="D16" s="1" t="s">
        <v>43</v>
      </c>
      <c r="E16" s="1" t="s">
        <v>35</v>
      </c>
      <c r="F16" s="4">
        <v>43</v>
      </c>
      <c r="G16" s="4">
        <v>37</v>
      </c>
      <c r="H16" s="11">
        <v>50</v>
      </c>
      <c r="I16" s="11">
        <v>25</v>
      </c>
      <c r="J16" s="4">
        <v>2</v>
      </c>
      <c r="K16" s="12">
        <v>0.62</v>
      </c>
      <c r="L16" s="4">
        <v>19</v>
      </c>
      <c r="M16" s="4">
        <v>9</v>
      </c>
      <c r="N16" s="4">
        <v>10</v>
      </c>
      <c r="O16" s="4">
        <v>3</v>
      </c>
      <c r="P16" s="4">
        <v>9</v>
      </c>
    </row>
    <row r="17" spans="3:16" ht="92.5" customHeight="1" x14ac:dyDescent="1.65">
      <c r="C17" s="1" t="s">
        <v>90</v>
      </c>
      <c r="D17" s="1" t="s">
        <v>30</v>
      </c>
      <c r="E17" s="1" t="s">
        <v>27</v>
      </c>
      <c r="F17" s="4">
        <v>24</v>
      </c>
      <c r="G17" s="4">
        <v>38</v>
      </c>
      <c r="H17" s="11">
        <v>73</v>
      </c>
      <c r="I17" s="11">
        <v>61</v>
      </c>
      <c r="J17" s="4">
        <v>1</v>
      </c>
      <c r="K17" s="12">
        <v>0.9</v>
      </c>
      <c r="L17" s="4">
        <v>7</v>
      </c>
      <c r="M17" s="4">
        <v>0</v>
      </c>
      <c r="N17" s="4">
        <v>7</v>
      </c>
      <c r="O17" s="4">
        <v>36</v>
      </c>
      <c r="P17" s="4">
        <v>0</v>
      </c>
    </row>
    <row r="18" spans="3:16" ht="92.5" customHeight="1" x14ac:dyDescent="1.65">
      <c r="C18" s="1" t="s">
        <v>91</v>
      </c>
      <c r="D18" s="1" t="s">
        <v>36</v>
      </c>
      <c r="E18" s="1" t="s">
        <v>12</v>
      </c>
      <c r="F18" s="4">
        <v>15</v>
      </c>
      <c r="G18" s="4">
        <v>6</v>
      </c>
      <c r="H18" s="11">
        <v>22</v>
      </c>
      <c r="I18" s="11">
        <v>4</v>
      </c>
      <c r="J18" s="4">
        <v>0</v>
      </c>
      <c r="K18" s="12">
        <v>0.23</v>
      </c>
      <c r="L18" s="4">
        <v>17</v>
      </c>
      <c r="M18" s="4">
        <v>5</v>
      </c>
      <c r="N18" s="4">
        <v>12</v>
      </c>
      <c r="O18" s="4">
        <v>0</v>
      </c>
      <c r="P18" s="4">
        <v>1</v>
      </c>
    </row>
    <row r="19" spans="3:16" ht="92.5" customHeight="1" x14ac:dyDescent="1.65">
      <c r="C19" s="21" t="s">
        <v>29</v>
      </c>
      <c r="D19" s="21"/>
      <c r="E19" s="21"/>
      <c r="F19" s="5">
        <f>SUM(F4:F18)</f>
        <v>785</v>
      </c>
      <c r="G19" s="5">
        <f t="shared" ref="G19:J19" si="0">SUM(G4:G18)</f>
        <v>662</v>
      </c>
      <c r="H19" s="5">
        <f t="shared" si="0"/>
        <v>961</v>
      </c>
      <c r="I19" s="5">
        <f t="shared" si="0"/>
        <v>582</v>
      </c>
      <c r="J19" s="5">
        <f t="shared" si="0"/>
        <v>17</v>
      </c>
      <c r="K19" s="2">
        <v>0.68</v>
      </c>
      <c r="L19" s="5">
        <f>SUM(L4:L18)</f>
        <v>306</v>
      </c>
      <c r="M19" s="5">
        <f t="shared" ref="M19" si="1">SUM(M4:M18)</f>
        <v>97</v>
      </c>
      <c r="N19" s="5">
        <f>SUM(N4:N18)</f>
        <v>209</v>
      </c>
      <c r="O19" s="5">
        <f t="shared" ref="O19:P19" si="2">SUM(O4:O18)</f>
        <v>210</v>
      </c>
      <c r="P19" s="5">
        <f t="shared" si="2"/>
        <v>68</v>
      </c>
    </row>
  </sheetData>
  <protectedRanges>
    <protectedRange sqref="I11:I18" name="entry area_1_2"/>
  </protectedRanges>
  <mergeCells count="1">
    <mergeCell ref="C19:E19"/>
  </mergeCells>
  <dataValidations count="1">
    <dataValidation type="whole" allowBlank="1" showInputMessage="1" showErrorMessage="1" sqref="I11:I18" xr:uid="{F44BA1FF-D466-4131-9A36-96A01B1DA4D2}">
      <formula1>0</formula1>
      <formula2>500000</formula2>
    </dataValidation>
  </dataValidations>
  <pageMargins left="0.7" right="0.7" top="0.75" bottom="0.75" header="0.3" footer="0.3"/>
  <pageSetup paperSize="9" scale="1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16D8-E69A-462F-94BF-EA130F337B42}">
  <sheetPr codeName="Sheet10">
    <pageSetUpPr fitToPage="1"/>
  </sheetPr>
  <dimension ref="C2:P19"/>
  <sheetViews>
    <sheetView rightToLeft="1" topLeftCell="E13" zoomScale="30" zoomScaleNormal="30" workbookViewId="0">
      <selection activeCell="J21" sqref="J21"/>
    </sheetView>
  </sheetViews>
  <sheetFormatPr defaultColWidth="8.7265625" defaultRowHeight="92.5" customHeight="1" x14ac:dyDescent="1.65"/>
  <cols>
    <col min="1" max="1" width="8.7265625" style="8"/>
    <col min="2" max="2" width="8.7265625" style="8" customWidth="1"/>
    <col min="3" max="3" width="55.81640625" style="8" bestFit="1" customWidth="1"/>
    <col min="4" max="4" width="59.81640625" style="8" bestFit="1" customWidth="1"/>
    <col min="5" max="5" width="38.54296875" style="8" bestFit="1" customWidth="1"/>
    <col min="6" max="6" width="46.1796875" style="8" bestFit="1" customWidth="1"/>
    <col min="7" max="7" width="46.453125" style="8" bestFit="1" customWidth="1"/>
    <col min="8" max="8" width="61.90625" style="8" bestFit="1" customWidth="1"/>
    <col min="9" max="9" width="63.7265625" style="8" bestFit="1" customWidth="1"/>
    <col min="10" max="10" width="58.90625" style="8" bestFit="1" customWidth="1"/>
    <col min="11" max="11" width="43.08984375" style="8" bestFit="1" customWidth="1"/>
    <col min="12" max="12" width="59.1796875" style="8" bestFit="1" customWidth="1"/>
    <col min="13" max="13" width="77.36328125" style="8" bestFit="1" customWidth="1"/>
    <col min="14" max="14" width="46.7265625" style="8" bestFit="1" customWidth="1"/>
    <col min="15" max="15" width="56.1796875" style="8" bestFit="1" customWidth="1"/>
    <col min="16" max="16" width="68.90625" style="8" bestFit="1" customWidth="1"/>
    <col min="17" max="16384" width="8.7265625" style="8"/>
  </cols>
  <sheetData>
    <row r="2" spans="3:16" ht="92.5" customHeight="1" x14ac:dyDescent="1.65">
      <c r="C2" s="17" t="s">
        <v>49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6"/>
    </row>
    <row r="3" spans="3:16" ht="92.5" customHeight="1" x14ac:dyDescent="1.65">
      <c r="C3" s="1" t="s">
        <v>0</v>
      </c>
      <c r="D3" s="3" t="s">
        <v>37</v>
      </c>
      <c r="E3" s="3" t="s">
        <v>38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39</v>
      </c>
      <c r="K3" s="3" t="s">
        <v>40</v>
      </c>
      <c r="L3" s="9" t="s">
        <v>6</v>
      </c>
      <c r="M3" s="9" t="s">
        <v>41</v>
      </c>
      <c r="N3" s="3" t="s">
        <v>42</v>
      </c>
      <c r="O3" s="3" t="s">
        <v>5</v>
      </c>
      <c r="P3" s="7" t="s">
        <v>44</v>
      </c>
    </row>
    <row r="4" spans="3:16" ht="92.5" customHeight="1" x14ac:dyDescent="1.65">
      <c r="C4" s="1" t="s">
        <v>77</v>
      </c>
      <c r="D4" s="1" t="s">
        <v>7</v>
      </c>
      <c r="E4" s="1" t="s">
        <v>8</v>
      </c>
      <c r="F4" s="4">
        <v>39</v>
      </c>
      <c r="G4" s="4">
        <v>8</v>
      </c>
      <c r="H4" s="4">
        <v>30</v>
      </c>
      <c r="I4" s="4">
        <v>16</v>
      </c>
      <c r="J4" s="4">
        <v>0</v>
      </c>
      <c r="K4" s="12">
        <v>0.53333333333333333</v>
      </c>
      <c r="L4" s="4">
        <v>14</v>
      </c>
      <c r="M4" s="4">
        <v>0</v>
      </c>
      <c r="N4" s="10">
        <v>14</v>
      </c>
      <c r="O4" s="4">
        <v>0</v>
      </c>
      <c r="P4" s="4" t="s">
        <v>45</v>
      </c>
    </row>
    <row r="5" spans="3:16" ht="92.5" customHeight="1" x14ac:dyDescent="1.65">
      <c r="C5" s="1" t="s">
        <v>78</v>
      </c>
      <c r="D5" s="1" t="s">
        <v>31</v>
      </c>
      <c r="E5" s="1" t="s">
        <v>26</v>
      </c>
      <c r="F5" s="4">
        <v>86</v>
      </c>
      <c r="G5" s="4">
        <v>57</v>
      </c>
      <c r="H5" s="4">
        <v>138</v>
      </c>
      <c r="I5" s="4">
        <v>89</v>
      </c>
      <c r="J5" s="4">
        <v>1</v>
      </c>
      <c r="K5" s="12">
        <v>0.73913043478260865</v>
      </c>
      <c r="L5" s="4">
        <v>36</v>
      </c>
      <c r="M5" s="4">
        <v>6</v>
      </c>
      <c r="N5" s="10">
        <v>30</v>
      </c>
      <c r="O5" s="4">
        <v>22</v>
      </c>
      <c r="P5" s="4">
        <v>27</v>
      </c>
    </row>
    <row r="6" spans="3:16" ht="92.5" customHeight="1" x14ac:dyDescent="1.65">
      <c r="C6" s="1" t="s">
        <v>79</v>
      </c>
      <c r="D6" s="1" t="s">
        <v>10</v>
      </c>
      <c r="E6" s="1" t="s">
        <v>11</v>
      </c>
      <c r="F6" s="4">
        <v>37</v>
      </c>
      <c r="G6" s="4">
        <v>40</v>
      </c>
      <c r="H6" s="4">
        <v>74</v>
      </c>
      <c r="I6" s="4">
        <v>65</v>
      </c>
      <c r="J6" s="4">
        <v>1</v>
      </c>
      <c r="K6" s="12">
        <v>0.89189189189189189</v>
      </c>
      <c r="L6" s="4">
        <v>8</v>
      </c>
      <c r="M6" s="4">
        <v>5</v>
      </c>
      <c r="N6" s="10">
        <v>3</v>
      </c>
      <c r="O6" s="4">
        <v>11</v>
      </c>
      <c r="P6" s="4">
        <v>6</v>
      </c>
    </row>
    <row r="7" spans="3:16" ht="92.5" customHeight="1" x14ac:dyDescent="1.65">
      <c r="C7" s="1" t="s">
        <v>80</v>
      </c>
      <c r="D7" s="1" t="s">
        <v>32</v>
      </c>
      <c r="E7" s="1" t="s">
        <v>9</v>
      </c>
      <c r="F7" s="4">
        <v>48</v>
      </c>
      <c r="G7" s="4">
        <v>32</v>
      </c>
      <c r="H7" s="4">
        <v>61</v>
      </c>
      <c r="I7" s="4">
        <v>42</v>
      </c>
      <c r="J7" s="4">
        <v>2</v>
      </c>
      <c r="K7" s="12">
        <v>0.83606557377049184</v>
      </c>
      <c r="L7" s="4">
        <v>10</v>
      </c>
      <c r="M7" s="4">
        <v>0</v>
      </c>
      <c r="N7" s="10">
        <v>10</v>
      </c>
      <c r="O7" s="4">
        <v>3</v>
      </c>
      <c r="P7" s="4">
        <v>2</v>
      </c>
    </row>
    <row r="8" spans="3:16" ht="92.5" customHeight="1" x14ac:dyDescent="1.65">
      <c r="C8" s="1" t="s">
        <v>81</v>
      </c>
      <c r="D8" s="1" t="s">
        <v>13</v>
      </c>
      <c r="E8" s="1" t="s">
        <v>14</v>
      </c>
      <c r="F8" s="4">
        <v>87</v>
      </c>
      <c r="G8" s="4">
        <v>35</v>
      </c>
      <c r="H8" s="4">
        <v>82</v>
      </c>
      <c r="I8" s="4">
        <v>54</v>
      </c>
      <c r="J8" s="4">
        <v>1</v>
      </c>
      <c r="K8" s="12">
        <v>0.73170731707317072</v>
      </c>
      <c r="L8" s="4">
        <v>22</v>
      </c>
      <c r="M8" s="4">
        <v>2</v>
      </c>
      <c r="N8" s="10">
        <v>20</v>
      </c>
      <c r="O8" s="4">
        <v>3</v>
      </c>
      <c r="P8" s="4">
        <v>5</v>
      </c>
    </row>
    <row r="9" spans="3:16" ht="92.5" customHeight="1" x14ac:dyDescent="1.65">
      <c r="C9" s="1" t="s">
        <v>82</v>
      </c>
      <c r="D9" s="1" t="s">
        <v>15</v>
      </c>
      <c r="E9" s="1" t="s">
        <v>33</v>
      </c>
      <c r="F9" s="4">
        <v>24</v>
      </c>
      <c r="G9" s="4">
        <v>34</v>
      </c>
      <c r="H9" s="4">
        <v>61</v>
      </c>
      <c r="I9" s="4">
        <v>47</v>
      </c>
      <c r="J9" s="4">
        <v>4</v>
      </c>
      <c r="K9" s="12">
        <v>0.85245901639344257</v>
      </c>
      <c r="L9" s="4">
        <v>9</v>
      </c>
      <c r="M9" s="4">
        <v>1</v>
      </c>
      <c r="N9" s="10">
        <v>8</v>
      </c>
      <c r="O9" s="4">
        <v>0</v>
      </c>
      <c r="P9" s="4">
        <v>0</v>
      </c>
    </row>
    <row r="10" spans="3:16" ht="92.5" customHeight="1" x14ac:dyDescent="1.65">
      <c r="C10" s="1" t="s">
        <v>83</v>
      </c>
      <c r="D10" s="1" t="s">
        <v>16</v>
      </c>
      <c r="E10" s="1" t="s">
        <v>17</v>
      </c>
      <c r="F10" s="4">
        <v>85</v>
      </c>
      <c r="G10" s="4">
        <v>49</v>
      </c>
      <c r="H10" s="4">
        <v>82</v>
      </c>
      <c r="I10" s="4">
        <v>62</v>
      </c>
      <c r="J10" s="4">
        <v>3</v>
      </c>
      <c r="K10" s="12">
        <v>0.84146341463414631</v>
      </c>
      <c r="L10" s="4">
        <v>13</v>
      </c>
      <c r="M10" s="4">
        <v>0</v>
      </c>
      <c r="N10" s="10">
        <v>13</v>
      </c>
      <c r="O10" s="4">
        <v>11</v>
      </c>
      <c r="P10" s="4">
        <v>11</v>
      </c>
    </row>
    <row r="11" spans="3:16" ht="92.5" customHeight="1" x14ac:dyDescent="1.65">
      <c r="C11" s="1" t="s">
        <v>84</v>
      </c>
      <c r="D11" s="1" t="s">
        <v>18</v>
      </c>
      <c r="E11" s="1" t="s">
        <v>28</v>
      </c>
      <c r="F11" s="10">
        <v>38</v>
      </c>
      <c r="G11" s="10">
        <v>30</v>
      </c>
      <c r="H11" s="11">
        <v>72</v>
      </c>
      <c r="I11" s="11">
        <v>43</v>
      </c>
      <c r="J11" s="4">
        <v>1</v>
      </c>
      <c r="K11" s="12">
        <v>0.65277777777777779</v>
      </c>
      <c r="L11" s="4">
        <v>25</v>
      </c>
      <c r="M11" s="4">
        <v>13</v>
      </c>
      <c r="N11" s="10">
        <v>12</v>
      </c>
      <c r="O11" s="4">
        <v>4</v>
      </c>
      <c r="P11" s="4">
        <v>0</v>
      </c>
    </row>
    <row r="12" spans="3:16" ht="92.5" customHeight="1" x14ac:dyDescent="1.65">
      <c r="C12" s="1" t="s">
        <v>85</v>
      </c>
      <c r="D12" s="1" t="s">
        <v>19</v>
      </c>
      <c r="E12" s="1" t="s">
        <v>20</v>
      </c>
      <c r="F12" s="4">
        <v>23</v>
      </c>
      <c r="G12" s="4">
        <v>28</v>
      </c>
      <c r="H12" s="11">
        <v>55</v>
      </c>
      <c r="I12" s="11">
        <v>35</v>
      </c>
      <c r="J12" s="4">
        <v>1</v>
      </c>
      <c r="K12" s="12">
        <v>0.72727272727272729</v>
      </c>
      <c r="L12" s="4">
        <v>15</v>
      </c>
      <c r="M12" s="4">
        <v>14</v>
      </c>
      <c r="N12" s="4">
        <v>1</v>
      </c>
      <c r="O12" s="4">
        <v>2</v>
      </c>
      <c r="P12" s="4">
        <v>9</v>
      </c>
    </row>
    <row r="13" spans="3:16" ht="92.5" customHeight="1" x14ac:dyDescent="1.65">
      <c r="C13" s="1" t="s">
        <v>86</v>
      </c>
      <c r="D13" s="1" t="s">
        <v>21</v>
      </c>
      <c r="E13" s="1" t="s">
        <v>34</v>
      </c>
      <c r="F13" s="4">
        <v>48</v>
      </c>
      <c r="G13" s="4">
        <v>29</v>
      </c>
      <c r="H13" s="11">
        <v>37</v>
      </c>
      <c r="I13" s="11">
        <v>31</v>
      </c>
      <c r="J13" s="4">
        <v>0</v>
      </c>
      <c r="K13" s="12">
        <v>0.94594594594594594</v>
      </c>
      <c r="L13" s="4">
        <v>2</v>
      </c>
      <c r="M13" s="4">
        <v>0</v>
      </c>
      <c r="N13" s="4">
        <v>2</v>
      </c>
      <c r="O13" s="4">
        <v>30</v>
      </c>
      <c r="P13" s="4">
        <v>2</v>
      </c>
    </row>
    <row r="14" spans="3:16" ht="92.5" customHeight="1" x14ac:dyDescent="1.65">
      <c r="C14" s="1" t="s">
        <v>87</v>
      </c>
      <c r="D14" s="1" t="s">
        <v>22</v>
      </c>
      <c r="E14" s="1" t="s">
        <v>23</v>
      </c>
      <c r="F14" s="4">
        <v>35</v>
      </c>
      <c r="G14" s="4">
        <v>28</v>
      </c>
      <c r="H14" s="11">
        <v>45</v>
      </c>
      <c r="I14" s="11">
        <v>41</v>
      </c>
      <c r="J14" s="4">
        <v>0</v>
      </c>
      <c r="K14" s="12">
        <v>0.93333333333333335</v>
      </c>
      <c r="L14" s="4">
        <v>3</v>
      </c>
      <c r="M14" s="4">
        <v>0</v>
      </c>
      <c r="N14" s="4">
        <v>3</v>
      </c>
      <c r="O14" s="4">
        <v>34</v>
      </c>
      <c r="P14" s="4">
        <v>7</v>
      </c>
    </row>
    <row r="15" spans="3:16" ht="92.5" customHeight="1" x14ac:dyDescent="1.65">
      <c r="C15" s="1" t="s">
        <v>88</v>
      </c>
      <c r="D15" s="1" t="s">
        <v>24</v>
      </c>
      <c r="E15" s="1" t="s">
        <v>25</v>
      </c>
      <c r="F15" s="4">
        <v>23</v>
      </c>
      <c r="G15" s="4">
        <v>35</v>
      </c>
      <c r="H15" s="11">
        <v>41</v>
      </c>
      <c r="I15" s="11">
        <v>31</v>
      </c>
      <c r="J15" s="4">
        <v>0</v>
      </c>
      <c r="K15" s="12">
        <v>0.80487804878048785</v>
      </c>
      <c r="L15" s="4">
        <v>8</v>
      </c>
      <c r="M15" s="4">
        <v>0</v>
      </c>
      <c r="N15" s="4">
        <v>8</v>
      </c>
      <c r="O15" s="4">
        <v>11</v>
      </c>
      <c r="P15" s="4" t="s">
        <v>45</v>
      </c>
    </row>
    <row r="16" spans="3:16" ht="92.5" customHeight="1" x14ac:dyDescent="1.65">
      <c r="C16" s="1" t="s">
        <v>89</v>
      </c>
      <c r="D16" s="1" t="s">
        <v>43</v>
      </c>
      <c r="E16" s="1" t="s">
        <v>35</v>
      </c>
      <c r="F16" s="4">
        <v>41</v>
      </c>
      <c r="G16" s="4">
        <v>30</v>
      </c>
      <c r="H16" s="11">
        <v>63</v>
      </c>
      <c r="I16" s="11">
        <v>22</v>
      </c>
      <c r="J16" s="4">
        <v>2</v>
      </c>
      <c r="K16" s="12">
        <v>0.44444444444444442</v>
      </c>
      <c r="L16" s="4">
        <v>35</v>
      </c>
      <c r="M16" s="4">
        <v>17</v>
      </c>
      <c r="N16" s="4">
        <v>18</v>
      </c>
      <c r="O16" s="4">
        <v>0</v>
      </c>
      <c r="P16" s="4">
        <v>7</v>
      </c>
    </row>
    <row r="17" spans="3:16" ht="92.5" customHeight="1" x14ac:dyDescent="1.65">
      <c r="C17" s="1" t="s">
        <v>90</v>
      </c>
      <c r="D17" s="1" t="s">
        <v>30</v>
      </c>
      <c r="E17" s="1" t="s">
        <v>27</v>
      </c>
      <c r="F17" s="4">
        <v>26</v>
      </c>
      <c r="G17" s="4">
        <v>28</v>
      </c>
      <c r="H17" s="11">
        <v>43</v>
      </c>
      <c r="I17" s="11">
        <v>31</v>
      </c>
      <c r="J17" s="4">
        <v>0</v>
      </c>
      <c r="K17" s="12">
        <v>0.76744186046511631</v>
      </c>
      <c r="L17" s="4">
        <v>10</v>
      </c>
      <c r="M17" s="4">
        <v>2</v>
      </c>
      <c r="N17" s="4">
        <v>8</v>
      </c>
      <c r="O17" s="4">
        <v>16</v>
      </c>
      <c r="P17" s="4">
        <v>2</v>
      </c>
    </row>
    <row r="18" spans="3:16" ht="92.5" customHeight="1" x14ac:dyDescent="1.65">
      <c r="C18" s="1" t="s">
        <v>91</v>
      </c>
      <c r="D18" s="1" t="s">
        <v>36</v>
      </c>
      <c r="E18" s="1" t="s">
        <v>12</v>
      </c>
      <c r="F18" s="4">
        <v>21</v>
      </c>
      <c r="G18" s="4">
        <v>4</v>
      </c>
      <c r="H18" s="11">
        <v>23</v>
      </c>
      <c r="I18" s="11">
        <v>12</v>
      </c>
      <c r="J18" s="4">
        <v>0</v>
      </c>
      <c r="K18" s="12">
        <v>0.56521739130434778</v>
      </c>
      <c r="L18" s="4">
        <v>10</v>
      </c>
      <c r="M18" s="4">
        <v>1</v>
      </c>
      <c r="N18" s="4">
        <v>9</v>
      </c>
      <c r="O18" s="4">
        <v>1</v>
      </c>
      <c r="P18" s="4" t="s">
        <v>45</v>
      </c>
    </row>
    <row r="19" spans="3:16" ht="92.5" customHeight="1" x14ac:dyDescent="1.65">
      <c r="C19" s="21" t="s">
        <v>29</v>
      </c>
      <c r="D19" s="21"/>
      <c r="E19" s="21"/>
      <c r="F19" s="5">
        <f>SUM(F4:F18)</f>
        <v>661</v>
      </c>
      <c r="G19" s="5">
        <f t="shared" ref="G19:J19" si="0">SUM(G4:G18)</f>
        <v>467</v>
      </c>
      <c r="H19" s="5">
        <f t="shared" si="0"/>
        <v>907</v>
      </c>
      <c r="I19" s="5">
        <f t="shared" si="0"/>
        <v>621</v>
      </c>
      <c r="J19" s="5">
        <f t="shared" si="0"/>
        <v>16</v>
      </c>
      <c r="K19" s="2">
        <v>0.75744211686879825</v>
      </c>
      <c r="L19" s="5">
        <f>SUM(L4:L18)</f>
        <v>220</v>
      </c>
      <c r="M19" s="5">
        <f t="shared" ref="M19" si="1">SUM(M4:M18)</f>
        <v>61</v>
      </c>
      <c r="N19" s="5">
        <f>SUM(N4:N18)</f>
        <v>159</v>
      </c>
      <c r="O19" s="5">
        <f t="shared" ref="O19:P19" si="2">SUM(O4:O18)</f>
        <v>148</v>
      </c>
      <c r="P19" s="5">
        <f t="shared" si="2"/>
        <v>78</v>
      </c>
    </row>
  </sheetData>
  <protectedRanges>
    <protectedRange sqref="I11:I18" name="entry area_1_2"/>
  </protectedRanges>
  <mergeCells count="1">
    <mergeCell ref="C19:E19"/>
  </mergeCells>
  <dataValidations count="1">
    <dataValidation type="whole" allowBlank="1" showInputMessage="1" showErrorMessage="1" sqref="I11:I18" xr:uid="{279667BE-20D5-426F-97DF-82B38773790A}">
      <formula1>0</formula1>
      <formula2>500000</formula2>
    </dataValidation>
  </dataValidations>
  <pageMargins left="0.7" right="0.7" top="0.75" bottom="0.75" header="0.3" footer="0.3"/>
  <pageSetup paperSize="9" scale="14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7A5F-C1CF-4A1C-90B5-ADB4D298D8A5}">
  <sheetPr codeName="Sheet12">
    <pageSetUpPr fitToPage="1"/>
  </sheetPr>
  <dimension ref="C2:P19"/>
  <sheetViews>
    <sheetView rightToLeft="1" zoomScale="30" zoomScaleNormal="30" workbookViewId="0">
      <selection sqref="A1:XFD1048576"/>
    </sheetView>
  </sheetViews>
  <sheetFormatPr defaultColWidth="8.7265625" defaultRowHeight="92.5" customHeight="1" x14ac:dyDescent="1.65"/>
  <cols>
    <col min="1" max="1" width="8.7265625" style="8"/>
    <col min="2" max="2" width="8.7265625" style="8" customWidth="1"/>
    <col min="3" max="3" width="55.81640625" style="8" bestFit="1" customWidth="1"/>
    <col min="4" max="4" width="59.81640625" style="8" bestFit="1" customWidth="1"/>
    <col min="5" max="5" width="38.54296875" style="8" bestFit="1" customWidth="1"/>
    <col min="6" max="6" width="46.1796875" style="8" bestFit="1" customWidth="1"/>
    <col min="7" max="7" width="46.453125" style="8" bestFit="1" customWidth="1"/>
    <col min="8" max="8" width="61.90625" style="8" bestFit="1" customWidth="1"/>
    <col min="9" max="9" width="63.7265625" style="8" bestFit="1" customWidth="1"/>
    <col min="10" max="10" width="58.90625" style="8" bestFit="1" customWidth="1"/>
    <col min="11" max="11" width="43.08984375" style="8" bestFit="1" customWidth="1"/>
    <col min="12" max="12" width="59.1796875" style="8" bestFit="1" customWidth="1"/>
    <col min="13" max="13" width="77.36328125" style="8" bestFit="1" customWidth="1"/>
    <col min="14" max="14" width="46.7265625" style="8" bestFit="1" customWidth="1"/>
    <col min="15" max="15" width="56.1796875" style="8" bestFit="1" customWidth="1"/>
    <col min="16" max="16" width="68.90625" style="8" bestFit="1" customWidth="1"/>
    <col min="17" max="16384" width="8.7265625" style="8"/>
  </cols>
  <sheetData>
    <row r="2" spans="3:16" ht="92.5" customHeight="1" x14ac:dyDescent="1.65">
      <c r="C2" s="17" t="s">
        <v>50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6"/>
    </row>
    <row r="3" spans="3:16" ht="92.5" customHeight="1" x14ac:dyDescent="1.65">
      <c r="C3" s="1" t="s">
        <v>0</v>
      </c>
      <c r="D3" s="3" t="s">
        <v>37</v>
      </c>
      <c r="E3" s="3" t="s">
        <v>38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39</v>
      </c>
      <c r="K3" s="3" t="s">
        <v>40</v>
      </c>
      <c r="L3" s="9" t="s">
        <v>6</v>
      </c>
      <c r="M3" s="9" t="s">
        <v>41</v>
      </c>
      <c r="N3" s="3" t="s">
        <v>42</v>
      </c>
      <c r="O3" s="3" t="s">
        <v>5</v>
      </c>
      <c r="P3" s="7" t="s">
        <v>44</v>
      </c>
    </row>
    <row r="4" spans="3:16" ht="92.5" customHeight="1" x14ac:dyDescent="1.65">
      <c r="C4" s="1" t="s">
        <v>77</v>
      </c>
      <c r="D4" s="1" t="s">
        <v>7</v>
      </c>
      <c r="E4" s="1" t="s">
        <v>8</v>
      </c>
      <c r="F4" s="4">
        <v>17</v>
      </c>
      <c r="G4" s="4">
        <v>15</v>
      </c>
      <c r="H4" s="4">
        <v>25</v>
      </c>
      <c r="I4" s="4">
        <v>11</v>
      </c>
      <c r="J4" s="4">
        <v>0</v>
      </c>
      <c r="K4" s="15">
        <f>(الجدول445223479[[#This Row],[عدد الدعاوى المتداولة]]-الجدول445223479[[#This Row],[عدد الدعاوى المرحلة]])/الجدول445223479[[#This Row],[عدد الدعاوى المتداولة]]</f>
        <v>0.44</v>
      </c>
      <c r="L4" s="4">
        <f>SUM(الجدول445223479[[#This Row],[عدد الدعاوى المحجوزة للحكم ]:[المتبقي للتداول]])</f>
        <v>14</v>
      </c>
      <c r="M4" s="4">
        <v>2</v>
      </c>
      <c r="N4" s="10">
        <v>12</v>
      </c>
      <c r="O4" s="4">
        <v>0</v>
      </c>
      <c r="P4" s="4">
        <v>0</v>
      </c>
    </row>
    <row r="5" spans="3:16" ht="92.5" customHeight="1" x14ac:dyDescent="1.65">
      <c r="C5" s="1" t="s">
        <v>78</v>
      </c>
      <c r="D5" s="1" t="s">
        <v>31</v>
      </c>
      <c r="E5" s="1" t="s">
        <v>26</v>
      </c>
      <c r="F5" s="4">
        <v>48</v>
      </c>
      <c r="G5" s="4">
        <v>54</v>
      </c>
      <c r="H5" s="4">
        <v>88</v>
      </c>
      <c r="I5" s="4">
        <v>58</v>
      </c>
      <c r="J5" s="4">
        <v>0</v>
      </c>
      <c r="K5" s="15">
        <f>(الجدول445223479[[#This Row],[عدد الدعاوى المتداولة]]-الجدول445223479[[#This Row],[عدد الدعاوى المرحلة]])/الجدول445223479[[#This Row],[عدد الدعاوى المتداولة]]</f>
        <v>0.75</v>
      </c>
      <c r="L5" s="4">
        <f>SUM(الجدول445223479[[#This Row],[عدد الدعاوى المحجوزة للحكم ]:[المتبقي للتداول]])</f>
        <v>22</v>
      </c>
      <c r="M5" s="4">
        <v>6</v>
      </c>
      <c r="N5" s="10">
        <v>16</v>
      </c>
      <c r="O5" s="4">
        <v>19</v>
      </c>
      <c r="P5" s="4">
        <v>8</v>
      </c>
    </row>
    <row r="6" spans="3:16" ht="92.5" customHeight="1" x14ac:dyDescent="1.65">
      <c r="C6" s="1" t="s">
        <v>79</v>
      </c>
      <c r="D6" s="1" t="s">
        <v>10</v>
      </c>
      <c r="E6" s="1" t="s">
        <v>11</v>
      </c>
      <c r="F6" s="4">
        <v>6</v>
      </c>
      <c r="G6" s="4">
        <v>34</v>
      </c>
      <c r="H6" s="4">
        <v>54</v>
      </c>
      <c r="I6" s="4">
        <v>51</v>
      </c>
      <c r="J6" s="4">
        <v>1</v>
      </c>
      <c r="K6" s="15">
        <f>(الجدول445223479[[#This Row],[عدد الدعاوى المتداولة]]-الجدول445223479[[#This Row],[عدد الدعاوى المرحلة]])/الجدول445223479[[#This Row],[عدد الدعاوى المتداولة]]</f>
        <v>0.96296296296296291</v>
      </c>
      <c r="L6" s="4">
        <f>SUM(الجدول445223479[[#This Row],[عدد الدعاوى المحجوزة للحكم ]:[المتبقي للتداول]])</f>
        <v>2</v>
      </c>
      <c r="M6" s="4">
        <v>0</v>
      </c>
      <c r="N6" s="10">
        <v>2</v>
      </c>
      <c r="O6" s="13">
        <v>17</v>
      </c>
      <c r="P6" s="4">
        <v>5</v>
      </c>
    </row>
    <row r="7" spans="3:16" ht="92.5" customHeight="1" x14ac:dyDescent="1.65">
      <c r="C7" s="1" t="s">
        <v>80</v>
      </c>
      <c r="D7" s="1" t="s">
        <v>32</v>
      </c>
      <c r="E7" s="1" t="s">
        <v>9</v>
      </c>
      <c r="F7" s="4">
        <v>26</v>
      </c>
      <c r="G7" s="4">
        <v>60</v>
      </c>
      <c r="H7" s="4">
        <v>66</v>
      </c>
      <c r="I7" s="4">
        <v>30</v>
      </c>
      <c r="J7" s="4">
        <v>1</v>
      </c>
      <c r="K7" s="15">
        <f>(الجدول445223479[[#This Row],[عدد الدعاوى المتداولة]]-الجدول445223479[[#This Row],[عدد الدعاوى المرحلة]])/الجدول445223479[[#This Row],[عدد الدعاوى المتداولة]]</f>
        <v>0.62121212121212122</v>
      </c>
      <c r="L7" s="4">
        <f>SUM(الجدول445223479[[#This Row],[عدد الدعاوى المحجوزة للحكم ]:[المتبقي للتداول]])</f>
        <v>25</v>
      </c>
      <c r="M7" s="4">
        <v>3</v>
      </c>
      <c r="N7" s="10">
        <v>22</v>
      </c>
      <c r="O7" s="4">
        <v>2</v>
      </c>
      <c r="P7" s="4">
        <v>8</v>
      </c>
    </row>
    <row r="8" spans="3:16" ht="92.5" customHeight="1" x14ac:dyDescent="1.65">
      <c r="C8" s="1" t="s">
        <v>81</v>
      </c>
      <c r="D8" s="1" t="s">
        <v>13</v>
      </c>
      <c r="E8" s="1" t="s">
        <v>14</v>
      </c>
      <c r="F8" s="4">
        <v>61</v>
      </c>
      <c r="G8" s="4">
        <v>54</v>
      </c>
      <c r="H8" s="4">
        <v>74</v>
      </c>
      <c r="I8" s="4">
        <v>45</v>
      </c>
      <c r="J8" s="4">
        <v>1</v>
      </c>
      <c r="K8" s="15">
        <f>(الجدول445223479[[#This Row],[عدد الدعاوى المتداولة]]-الجدول445223479[[#This Row],[عدد الدعاوى المرحلة]])/الجدول445223479[[#This Row],[عدد الدعاوى المتداولة]]</f>
        <v>0.71621621621621623</v>
      </c>
      <c r="L8" s="4">
        <f>SUM(الجدول445223479[[#This Row],[عدد الدعاوى المحجوزة للحكم ]:[المتبقي للتداول]])</f>
        <v>21</v>
      </c>
      <c r="M8" s="4">
        <v>1</v>
      </c>
      <c r="N8" s="10">
        <v>20</v>
      </c>
      <c r="O8" s="4">
        <v>7</v>
      </c>
      <c r="P8" s="4">
        <v>4</v>
      </c>
    </row>
    <row r="9" spans="3:16" ht="92.5" customHeight="1" x14ac:dyDescent="1.65">
      <c r="C9" s="1" t="s">
        <v>82</v>
      </c>
      <c r="D9" s="1" t="s">
        <v>15</v>
      </c>
      <c r="E9" s="1" t="s">
        <v>33</v>
      </c>
      <c r="F9" s="4">
        <v>10</v>
      </c>
      <c r="G9" s="4">
        <v>33</v>
      </c>
      <c r="H9" s="4">
        <v>46</v>
      </c>
      <c r="I9" s="4">
        <v>33</v>
      </c>
      <c r="J9" s="4">
        <v>0</v>
      </c>
      <c r="K9" s="15">
        <f>(الجدول445223479[[#This Row],[عدد الدعاوى المتداولة]]-الجدول445223479[[#This Row],[عدد الدعاوى المرحلة]])/الجدول445223479[[#This Row],[عدد الدعاوى المتداولة]]</f>
        <v>0.71739130434782605</v>
      </c>
      <c r="L9" s="4">
        <f>SUM(الجدول445223479[[#This Row],[عدد الدعاوى المحجوزة للحكم ]:[المتبقي للتداول]])</f>
        <v>13</v>
      </c>
      <c r="M9" s="4">
        <v>7</v>
      </c>
      <c r="N9" s="10">
        <v>6</v>
      </c>
      <c r="O9" s="4">
        <v>0</v>
      </c>
      <c r="P9" s="4">
        <v>0</v>
      </c>
    </row>
    <row r="10" spans="3:16" ht="92.5" customHeight="1" x14ac:dyDescent="1.65">
      <c r="C10" s="1" t="s">
        <v>83</v>
      </c>
      <c r="D10" s="1" t="s">
        <v>16</v>
      </c>
      <c r="E10" s="1" t="s">
        <v>17</v>
      </c>
      <c r="F10" s="4">
        <v>47</v>
      </c>
      <c r="G10" s="4">
        <v>103</v>
      </c>
      <c r="H10" s="4">
        <v>109</v>
      </c>
      <c r="I10" s="11">
        <v>69</v>
      </c>
      <c r="J10" s="4">
        <v>0</v>
      </c>
      <c r="K10" s="15">
        <f>(الجدول445223479[[#This Row],[عدد الدعاوى المتداولة]]-الجدول445223479[[#This Row],[عدد الدعاوى المرحلة]])/الجدول445223479[[#This Row],[عدد الدعاوى المتداولة]]</f>
        <v>0.7155963302752294</v>
      </c>
      <c r="L10" s="4">
        <f>SUM(الجدول445223479[[#This Row],[عدد الدعاوى المحجوزة للحكم ]:[المتبقي للتداول]])</f>
        <v>31</v>
      </c>
      <c r="M10" s="4">
        <v>0</v>
      </c>
      <c r="N10" s="10">
        <v>31</v>
      </c>
      <c r="O10" s="4">
        <v>17</v>
      </c>
      <c r="P10" s="4">
        <v>19</v>
      </c>
    </row>
    <row r="11" spans="3:16" ht="92.5" customHeight="1" x14ac:dyDescent="1.65">
      <c r="C11" s="1" t="s">
        <v>84</v>
      </c>
      <c r="D11" s="1" t="s">
        <v>18</v>
      </c>
      <c r="E11" s="1" t="s">
        <v>28</v>
      </c>
      <c r="F11" s="10">
        <v>14</v>
      </c>
      <c r="G11" s="10">
        <v>42</v>
      </c>
      <c r="H11" s="11">
        <v>64</v>
      </c>
      <c r="I11" s="4">
        <v>34</v>
      </c>
      <c r="J11" s="4">
        <v>0</v>
      </c>
      <c r="K11" s="15">
        <f>(الجدول445223479[[#This Row],[عدد الدعاوى المتداولة]]-الجدول445223479[[#This Row],[عدد الدعاوى المرحلة]])/الجدول445223479[[#This Row],[عدد الدعاوى المتداولة]]</f>
        <v>0.578125</v>
      </c>
      <c r="L11" s="4">
        <f>SUM(الجدول445223479[[#This Row],[عدد الدعاوى المحجوزة للحكم ]:[المتبقي للتداول]])</f>
        <v>27</v>
      </c>
      <c r="M11" s="4">
        <v>12</v>
      </c>
      <c r="N11" s="10">
        <v>15</v>
      </c>
      <c r="O11" s="4">
        <v>7</v>
      </c>
      <c r="P11" s="4">
        <v>0</v>
      </c>
    </row>
    <row r="12" spans="3:16" ht="92.5" customHeight="1" x14ac:dyDescent="1.65">
      <c r="C12" s="1" t="s">
        <v>85</v>
      </c>
      <c r="D12" s="1" t="s">
        <v>19</v>
      </c>
      <c r="E12" s="1" t="s">
        <v>20</v>
      </c>
      <c r="F12" s="4">
        <v>59</v>
      </c>
      <c r="G12" s="4">
        <v>41</v>
      </c>
      <c r="H12" s="11">
        <v>52</v>
      </c>
      <c r="I12" s="11">
        <v>28</v>
      </c>
      <c r="J12" s="4">
        <v>1</v>
      </c>
      <c r="K12" s="15">
        <f>(الجدول445223479[[#This Row],[عدد الدعاوى المتداولة]]-الجدول445223479[[#This Row],[عدد الدعاوى المرحلة]])/الجدول445223479[[#This Row],[عدد الدعاوى المتداولة]]</f>
        <v>0.59615384615384615</v>
      </c>
      <c r="L12" s="4">
        <f>SUM(الجدول445223479[[#This Row],[عدد الدعاوى المحجوزة للحكم ]:[المتبقي للتداول]])</f>
        <v>21</v>
      </c>
      <c r="M12" s="4">
        <v>8</v>
      </c>
      <c r="N12" s="4">
        <v>13</v>
      </c>
      <c r="O12" s="4">
        <v>2</v>
      </c>
      <c r="P12" s="4">
        <v>0</v>
      </c>
    </row>
    <row r="13" spans="3:16" ht="92.5" customHeight="1" x14ac:dyDescent="1.65">
      <c r="C13" s="1" t="s">
        <v>86</v>
      </c>
      <c r="D13" s="1" t="s">
        <v>21</v>
      </c>
      <c r="E13" s="1" t="s">
        <v>34</v>
      </c>
      <c r="F13" s="4">
        <v>43</v>
      </c>
      <c r="G13" s="4">
        <v>59</v>
      </c>
      <c r="H13" s="11">
        <v>53</v>
      </c>
      <c r="I13" s="11">
        <v>49</v>
      </c>
      <c r="J13" s="4">
        <v>0</v>
      </c>
      <c r="K13" s="15">
        <f>(الجدول445223479[[#This Row],[عدد الدعاوى المتداولة]]-الجدول445223479[[#This Row],[عدد الدعاوى المرحلة]])/الجدول445223479[[#This Row],[عدد الدعاوى المتداولة]]</f>
        <v>0.94339622641509435</v>
      </c>
      <c r="L13" s="4">
        <f>SUM(الجدول445223479[[#This Row],[عدد الدعاوى المحجوزة للحكم ]:[المتبقي للتداول]])</f>
        <v>3</v>
      </c>
      <c r="M13" s="4">
        <v>0</v>
      </c>
      <c r="N13" s="4">
        <v>3</v>
      </c>
      <c r="O13" s="4">
        <v>48</v>
      </c>
      <c r="P13" s="4">
        <v>0</v>
      </c>
    </row>
    <row r="14" spans="3:16" ht="92.5" customHeight="1" x14ac:dyDescent="1.65">
      <c r="C14" s="1" t="s">
        <v>87</v>
      </c>
      <c r="D14" s="1" t="s">
        <v>22</v>
      </c>
      <c r="E14" s="1" t="s">
        <v>23</v>
      </c>
      <c r="F14" s="4">
        <v>35</v>
      </c>
      <c r="G14" s="4">
        <v>57</v>
      </c>
      <c r="H14" s="11">
        <v>46</v>
      </c>
      <c r="I14" s="11">
        <v>42</v>
      </c>
      <c r="J14" s="4">
        <v>0</v>
      </c>
      <c r="K14" s="15">
        <f>(الجدول445223479[[#This Row],[عدد الدعاوى المتداولة]]-الجدول445223479[[#This Row],[عدد الدعاوى المرحلة]])/الجدول445223479[[#This Row],[عدد الدعاوى المتداولة]]</f>
        <v>0.97826086956521741</v>
      </c>
      <c r="L14" s="4">
        <f>SUM(الجدول445223479[[#This Row],[عدد الدعاوى المحجوزة للحكم ]:[المتبقي للتداول]])</f>
        <v>1</v>
      </c>
      <c r="M14" s="4">
        <v>0</v>
      </c>
      <c r="N14" s="4">
        <v>1</v>
      </c>
      <c r="O14" s="4">
        <v>42</v>
      </c>
      <c r="P14" s="14">
        <v>6</v>
      </c>
    </row>
    <row r="15" spans="3:16" ht="92.5" customHeight="1" x14ac:dyDescent="1.65">
      <c r="C15" s="1" t="s">
        <v>88</v>
      </c>
      <c r="D15" s="1" t="s">
        <v>24</v>
      </c>
      <c r="E15" s="1" t="s">
        <v>25</v>
      </c>
      <c r="F15" s="4">
        <v>13</v>
      </c>
      <c r="G15" s="4">
        <v>28</v>
      </c>
      <c r="H15" s="11">
        <v>46</v>
      </c>
      <c r="I15" s="11">
        <v>30</v>
      </c>
      <c r="J15" s="4">
        <v>0</v>
      </c>
      <c r="K15" s="15">
        <f>(الجدول445223479[[#This Row],[عدد الدعاوى المتداولة]]-الجدول445223479[[#This Row],[عدد الدعاوى المرحلة]])/الجدول445223479[[#This Row],[عدد الدعاوى المتداولة]]</f>
        <v>0.82608695652173914</v>
      </c>
      <c r="L15" s="4">
        <f>SUM(الجدول445223479[[#This Row],[عدد الدعاوى المحجوزة للحكم ]:[المتبقي للتداول]])</f>
        <v>8</v>
      </c>
      <c r="M15" s="4">
        <v>1</v>
      </c>
      <c r="N15" s="4">
        <v>7</v>
      </c>
      <c r="O15" s="4">
        <v>13</v>
      </c>
      <c r="P15" s="4">
        <v>0</v>
      </c>
    </row>
    <row r="16" spans="3:16" ht="92.5" customHeight="1" x14ac:dyDescent="1.65">
      <c r="C16" s="1" t="s">
        <v>89</v>
      </c>
      <c r="D16" s="1" t="s">
        <v>43</v>
      </c>
      <c r="E16" s="1" t="s">
        <v>35</v>
      </c>
      <c r="F16" s="4">
        <v>17</v>
      </c>
      <c r="G16" s="4">
        <v>40</v>
      </c>
      <c r="H16" s="11">
        <v>79</v>
      </c>
      <c r="I16" s="11">
        <v>53</v>
      </c>
      <c r="J16" s="4">
        <v>1</v>
      </c>
      <c r="K16" s="15">
        <f>(الجدول445223479[[#This Row],[عدد الدعاوى المتداولة]]-الجدول445223479[[#This Row],[عدد الدعاوى المرحلة]])/الجدول445223479[[#This Row],[عدد الدعاوى المتداولة]]</f>
        <v>0.70886075949367089</v>
      </c>
      <c r="L16" s="4">
        <f>SUM(الجدول445223479[[#This Row],[عدد الدعاوى المحجوزة للحكم ]:[المتبقي للتداول]])</f>
        <v>23</v>
      </c>
      <c r="M16" s="4">
        <v>17</v>
      </c>
      <c r="N16" s="4">
        <v>6</v>
      </c>
      <c r="O16" s="4">
        <v>10</v>
      </c>
      <c r="P16" s="4">
        <v>21</v>
      </c>
    </row>
    <row r="17" spans="3:16" ht="92.5" customHeight="1" x14ac:dyDescent="1.65">
      <c r="C17" s="1" t="s">
        <v>90</v>
      </c>
      <c r="D17" s="1" t="s">
        <v>30</v>
      </c>
      <c r="E17" s="1" t="s">
        <v>27</v>
      </c>
      <c r="F17" s="4">
        <v>8</v>
      </c>
      <c r="G17" s="4">
        <v>42</v>
      </c>
      <c r="H17" s="11">
        <v>48</v>
      </c>
      <c r="I17" s="11">
        <v>27</v>
      </c>
      <c r="J17" s="4">
        <v>0</v>
      </c>
      <c r="K17" s="15">
        <f>(الجدول445223479[[#This Row],[عدد الدعاوى المتداولة]]-الجدول445223479[[#This Row],[عدد الدعاوى المرحلة]])/الجدول445223479[[#This Row],[عدد الدعاوى المتداولة]]</f>
        <v>0.60416666666666663</v>
      </c>
      <c r="L17" s="4">
        <f>SUM(الجدول445223479[[#This Row],[عدد الدعاوى المحجوزة للحكم ]:[المتبقي للتداول]])</f>
        <v>19</v>
      </c>
      <c r="M17" s="4">
        <v>10</v>
      </c>
      <c r="N17" s="4">
        <v>9</v>
      </c>
      <c r="O17" s="4">
        <v>15</v>
      </c>
      <c r="P17" s="4">
        <v>5</v>
      </c>
    </row>
    <row r="18" spans="3:16" ht="92.5" customHeight="1" x14ac:dyDescent="1.65">
      <c r="C18" s="1" t="s">
        <v>91</v>
      </c>
      <c r="D18" s="1" t="s">
        <v>36</v>
      </c>
      <c r="E18" s="1" t="s">
        <v>12</v>
      </c>
      <c r="F18" s="4">
        <v>3</v>
      </c>
      <c r="G18" s="4">
        <v>6</v>
      </c>
      <c r="H18" s="11">
        <v>17</v>
      </c>
      <c r="I18" s="11">
        <v>6</v>
      </c>
      <c r="J18" s="4">
        <v>0</v>
      </c>
      <c r="K18" s="15">
        <f>(الجدول445223479[[#This Row],[عدد الدعاوى المتداولة]]-الجدول445223479[[#This Row],[عدد الدعاوى المرحلة]])/الجدول445223479[[#This Row],[عدد الدعاوى المتداولة]]</f>
        <v>0.35294117647058826</v>
      </c>
      <c r="L18" s="4">
        <f>SUM(الجدول445223479[[#This Row],[عدد الدعاوى المحجوزة للحكم ]:[المتبقي للتداول]])</f>
        <v>11</v>
      </c>
      <c r="M18" s="4">
        <v>1</v>
      </c>
      <c r="N18" s="4">
        <v>10</v>
      </c>
      <c r="O18" s="4">
        <v>0</v>
      </c>
      <c r="P18" s="4">
        <v>0</v>
      </c>
    </row>
    <row r="19" spans="3:16" ht="92.5" customHeight="1" x14ac:dyDescent="1.65">
      <c r="C19" s="21" t="s">
        <v>29</v>
      </c>
      <c r="D19" s="21"/>
      <c r="E19" s="21"/>
      <c r="F19" s="5">
        <f>SUM(F4:F18)</f>
        <v>407</v>
      </c>
      <c r="G19" s="5">
        <f t="shared" ref="G19:J19" si="0">SUM(G4:G18)</f>
        <v>668</v>
      </c>
      <c r="H19" s="5">
        <f t="shared" si="0"/>
        <v>867</v>
      </c>
      <c r="I19" s="5">
        <f t="shared" si="0"/>
        <v>566</v>
      </c>
      <c r="J19" s="5">
        <f t="shared" si="0"/>
        <v>5</v>
      </c>
      <c r="K19" s="16">
        <f>(الجدول445223479[[#This Row],[عدد الدعاوى المتداولة]]-الجدول445223479[[#This Row],[عدد الدعاوى المرحلة]])/الجدول445223479[[#This Row],[عدد الدعاوى المتداولة]]</f>
        <v>0.72202998846597466</v>
      </c>
      <c r="L19" s="5">
        <f>SUM(L4:L18)</f>
        <v>241</v>
      </c>
      <c r="M19" s="5">
        <f t="shared" ref="M19" si="1">SUM(M4:M18)</f>
        <v>68</v>
      </c>
      <c r="N19" s="5">
        <f>SUM(N4:N18)</f>
        <v>173</v>
      </c>
      <c r="O19" s="5">
        <f t="shared" ref="O19:P19" si="2">SUM(O4:O18)</f>
        <v>199</v>
      </c>
      <c r="P19" s="5">
        <f t="shared" si="2"/>
        <v>76</v>
      </c>
    </row>
  </sheetData>
  <protectedRanges>
    <protectedRange sqref="I10 I12:I18" name="entry area_1_2"/>
  </protectedRanges>
  <mergeCells count="1">
    <mergeCell ref="C19:E19"/>
  </mergeCells>
  <dataValidations count="1">
    <dataValidation type="whole" allowBlank="1" showInputMessage="1" showErrorMessage="1" sqref="I12:I18 I10" xr:uid="{86E82EBC-8163-4641-9092-0F3FFEE52536}">
      <formula1>0</formula1>
      <formula2>500000</formula2>
    </dataValidation>
  </dataValidations>
  <pageMargins left="0.7" right="0.7" top="0.75" bottom="0.75" header="0.3" footer="0.3"/>
  <pageSetup paperSize="9" scale="14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135B-1E27-4945-9D0D-BAD6737FDF0F}">
  <sheetPr codeName="Sheet13">
    <pageSetUpPr fitToPage="1"/>
  </sheetPr>
  <dimension ref="C2:P19"/>
  <sheetViews>
    <sheetView rightToLeft="1" topLeftCell="A16" zoomScale="30" zoomScaleNormal="30" workbookViewId="0">
      <selection activeCell="B1" sqref="A1:XFD1048576"/>
    </sheetView>
  </sheetViews>
  <sheetFormatPr defaultColWidth="8.7265625" defaultRowHeight="92.5" customHeight="1" x14ac:dyDescent="1.65"/>
  <cols>
    <col min="1" max="2" width="8.7265625" style="8"/>
    <col min="3" max="3" width="55.81640625" style="8" bestFit="1" customWidth="1"/>
    <col min="4" max="4" width="59.81640625" style="8" bestFit="1" customWidth="1"/>
    <col min="5" max="5" width="38.54296875" style="8" bestFit="1" customWidth="1"/>
    <col min="6" max="6" width="46.1796875" style="8" bestFit="1" customWidth="1"/>
    <col min="7" max="7" width="46.453125" style="8" bestFit="1" customWidth="1"/>
    <col min="8" max="8" width="61.90625" style="8" bestFit="1" customWidth="1"/>
    <col min="9" max="9" width="63.7265625" style="8" bestFit="1" customWidth="1"/>
    <col min="10" max="10" width="58.90625" style="8" bestFit="1" customWidth="1"/>
    <col min="11" max="11" width="43.08984375" style="8" bestFit="1" customWidth="1"/>
    <col min="12" max="12" width="59.1796875" style="8" bestFit="1" customWidth="1"/>
    <col min="13" max="13" width="77.36328125" style="8" bestFit="1" customWidth="1"/>
    <col min="14" max="14" width="46.7265625" style="8" bestFit="1" customWidth="1"/>
    <col min="15" max="15" width="56.1796875" style="8" bestFit="1" customWidth="1"/>
    <col min="16" max="16" width="68.90625" style="8" bestFit="1" customWidth="1"/>
    <col min="17" max="16384" width="8.7265625" style="8"/>
  </cols>
  <sheetData>
    <row r="2" spans="3:16" ht="92.5" customHeight="1" x14ac:dyDescent="1.65">
      <c r="C2" s="17" t="s">
        <v>51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6"/>
    </row>
    <row r="3" spans="3:16" ht="92.5" customHeight="1" x14ac:dyDescent="1.65">
      <c r="C3" s="1" t="s">
        <v>0</v>
      </c>
      <c r="D3" s="3" t="s">
        <v>37</v>
      </c>
      <c r="E3" s="3" t="s">
        <v>38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39</v>
      </c>
      <c r="K3" s="3" t="s">
        <v>40</v>
      </c>
      <c r="L3" s="9" t="s">
        <v>6</v>
      </c>
      <c r="M3" s="9" t="s">
        <v>41</v>
      </c>
      <c r="N3" s="3" t="s">
        <v>42</v>
      </c>
      <c r="O3" s="3" t="s">
        <v>5</v>
      </c>
      <c r="P3" s="7" t="s">
        <v>44</v>
      </c>
    </row>
    <row r="4" spans="3:16" ht="92.5" customHeight="1" x14ac:dyDescent="1.65">
      <c r="C4" s="1" t="s">
        <v>77</v>
      </c>
      <c r="D4" s="1" t="s">
        <v>7</v>
      </c>
      <c r="E4" s="1" t="s">
        <v>8</v>
      </c>
      <c r="F4" s="4">
        <v>22</v>
      </c>
      <c r="G4" s="4">
        <v>13</v>
      </c>
      <c r="H4" s="4">
        <v>26</v>
      </c>
      <c r="I4" s="4">
        <v>6</v>
      </c>
      <c r="J4" s="4">
        <v>1</v>
      </c>
      <c r="K4" s="15">
        <v>0.34615384615384615</v>
      </c>
      <c r="L4" s="4">
        <v>15</v>
      </c>
      <c r="M4" s="4">
        <v>2</v>
      </c>
      <c r="N4" s="10">
        <v>17</v>
      </c>
      <c r="O4" s="4">
        <v>0</v>
      </c>
      <c r="P4" s="4">
        <v>0</v>
      </c>
    </row>
    <row r="5" spans="3:16" ht="92.5" customHeight="1" x14ac:dyDescent="1.65">
      <c r="C5" s="1" t="s">
        <v>78</v>
      </c>
      <c r="D5" s="1" t="s">
        <v>31</v>
      </c>
      <c r="E5" s="1" t="s">
        <v>26</v>
      </c>
      <c r="F5" s="4">
        <v>59</v>
      </c>
      <c r="G5" s="4">
        <v>82</v>
      </c>
      <c r="H5" s="4">
        <v>95</v>
      </c>
      <c r="I5" s="4">
        <v>35</v>
      </c>
      <c r="J5" s="4">
        <v>1</v>
      </c>
      <c r="K5" s="15">
        <v>0.51578947368421058</v>
      </c>
      <c r="L5" s="4">
        <v>44</v>
      </c>
      <c r="M5" s="4">
        <v>2</v>
      </c>
      <c r="N5" s="10">
        <v>46</v>
      </c>
      <c r="O5" s="4">
        <v>20</v>
      </c>
      <c r="P5" s="4">
        <v>5</v>
      </c>
    </row>
    <row r="6" spans="3:16" ht="92.5" customHeight="1" x14ac:dyDescent="1.65">
      <c r="C6" s="1" t="s">
        <v>79</v>
      </c>
      <c r="D6" s="1" t="s">
        <v>10</v>
      </c>
      <c r="E6" s="1" t="s">
        <v>11</v>
      </c>
      <c r="F6" s="4">
        <v>16</v>
      </c>
      <c r="G6" s="4">
        <v>50</v>
      </c>
      <c r="H6" s="4">
        <v>38</v>
      </c>
      <c r="I6" s="4">
        <v>31</v>
      </c>
      <c r="J6" s="4">
        <v>1</v>
      </c>
      <c r="K6" s="15">
        <v>0.84210526315789469</v>
      </c>
      <c r="L6" s="4">
        <v>5</v>
      </c>
      <c r="M6" s="4">
        <v>1</v>
      </c>
      <c r="N6" s="10">
        <v>6</v>
      </c>
      <c r="O6" s="13">
        <v>25</v>
      </c>
      <c r="P6" s="4">
        <v>2</v>
      </c>
    </row>
    <row r="7" spans="3:16" ht="92.5" customHeight="1" x14ac:dyDescent="1.65">
      <c r="C7" s="1" t="s">
        <v>80</v>
      </c>
      <c r="D7" s="1" t="s">
        <v>32</v>
      </c>
      <c r="E7" s="1" t="s">
        <v>9</v>
      </c>
      <c r="F7" s="4">
        <v>42</v>
      </c>
      <c r="G7" s="4">
        <v>46</v>
      </c>
      <c r="H7" s="4">
        <v>72</v>
      </c>
      <c r="I7" s="4">
        <v>46</v>
      </c>
      <c r="J7" s="4">
        <v>2</v>
      </c>
      <c r="K7" s="15">
        <v>0.75</v>
      </c>
      <c r="L7" s="4">
        <v>17</v>
      </c>
      <c r="M7" s="4">
        <v>1</v>
      </c>
      <c r="N7" s="10">
        <v>18</v>
      </c>
      <c r="O7" s="4">
        <v>3</v>
      </c>
      <c r="P7" s="4">
        <v>0</v>
      </c>
    </row>
    <row r="8" spans="3:16" ht="92.5" customHeight="1" x14ac:dyDescent="1.65">
      <c r="C8" s="1" t="s">
        <v>81</v>
      </c>
      <c r="D8" s="1" t="s">
        <v>13</v>
      </c>
      <c r="E8" s="1" t="s">
        <v>14</v>
      </c>
      <c r="F8" s="4">
        <v>28</v>
      </c>
      <c r="G8" s="4">
        <v>43</v>
      </c>
      <c r="H8" s="4">
        <v>68</v>
      </c>
      <c r="I8" s="4">
        <v>42</v>
      </c>
      <c r="J8" s="4">
        <v>1</v>
      </c>
      <c r="K8" s="15">
        <v>0.67647058823529416</v>
      </c>
      <c r="L8" s="4">
        <v>19</v>
      </c>
      <c r="M8" s="4">
        <v>3</v>
      </c>
      <c r="N8" s="10">
        <v>22</v>
      </c>
      <c r="O8" s="4">
        <v>2</v>
      </c>
      <c r="P8" s="4">
        <v>6</v>
      </c>
    </row>
    <row r="9" spans="3:16" ht="92.5" customHeight="1" x14ac:dyDescent="1.65">
      <c r="C9" s="1" t="s">
        <v>82</v>
      </c>
      <c r="D9" s="1" t="s">
        <v>15</v>
      </c>
      <c r="E9" s="1" t="s">
        <v>33</v>
      </c>
      <c r="F9" s="4">
        <v>10</v>
      </c>
      <c r="G9" s="4">
        <v>46</v>
      </c>
      <c r="H9" s="4">
        <v>51</v>
      </c>
      <c r="I9" s="4">
        <v>29</v>
      </c>
      <c r="J9" s="4">
        <v>3</v>
      </c>
      <c r="K9" s="15">
        <v>0.66666666666666663</v>
      </c>
      <c r="L9" s="4">
        <v>12</v>
      </c>
      <c r="M9" s="4">
        <v>5</v>
      </c>
      <c r="N9" s="10">
        <v>17</v>
      </c>
      <c r="O9" s="4">
        <v>1</v>
      </c>
      <c r="P9" s="4">
        <v>0</v>
      </c>
    </row>
    <row r="10" spans="3:16" ht="92.5" customHeight="1" x14ac:dyDescent="1.65">
      <c r="C10" s="1" t="s">
        <v>83</v>
      </c>
      <c r="D10" s="1" t="s">
        <v>16</v>
      </c>
      <c r="E10" s="1" t="s">
        <v>17</v>
      </c>
      <c r="F10" s="4">
        <v>55</v>
      </c>
      <c r="G10" s="4">
        <v>87</v>
      </c>
      <c r="H10" s="4">
        <v>107</v>
      </c>
      <c r="I10" s="11">
        <v>74</v>
      </c>
      <c r="J10" s="4">
        <v>0</v>
      </c>
      <c r="K10" s="15">
        <v>0.77570093457943923</v>
      </c>
      <c r="L10" s="4">
        <v>24</v>
      </c>
      <c r="M10" s="4">
        <v>0</v>
      </c>
      <c r="N10" s="10">
        <v>24</v>
      </c>
      <c r="O10" s="4">
        <v>22</v>
      </c>
      <c r="P10" s="4">
        <v>17</v>
      </c>
    </row>
    <row r="11" spans="3:16" ht="92.5" customHeight="1" x14ac:dyDescent="1.65">
      <c r="C11" s="1" t="s">
        <v>84</v>
      </c>
      <c r="D11" s="1" t="s">
        <v>18</v>
      </c>
      <c r="E11" s="1" t="s">
        <v>28</v>
      </c>
      <c r="F11" s="10">
        <v>25</v>
      </c>
      <c r="G11" s="10">
        <v>35</v>
      </c>
      <c r="H11" s="11">
        <v>69</v>
      </c>
      <c r="I11" s="4">
        <v>33</v>
      </c>
      <c r="J11" s="4">
        <v>3</v>
      </c>
      <c r="K11" s="15">
        <v>0.59420289855072461</v>
      </c>
      <c r="L11" s="4">
        <v>7</v>
      </c>
      <c r="M11" s="4">
        <v>21</v>
      </c>
      <c r="N11" s="10">
        <v>28</v>
      </c>
      <c r="O11" s="4">
        <v>1</v>
      </c>
      <c r="P11" s="4">
        <v>0</v>
      </c>
    </row>
    <row r="12" spans="3:16" ht="92.5" customHeight="1" x14ac:dyDescent="1.65">
      <c r="C12" s="1" t="s">
        <v>85</v>
      </c>
      <c r="D12" s="1" t="s">
        <v>19</v>
      </c>
      <c r="E12" s="1" t="s">
        <v>20</v>
      </c>
      <c r="F12" s="4">
        <v>29</v>
      </c>
      <c r="G12" s="4">
        <v>36</v>
      </c>
      <c r="H12" s="11">
        <v>63</v>
      </c>
      <c r="I12" s="11">
        <v>42</v>
      </c>
      <c r="J12" s="4">
        <v>1</v>
      </c>
      <c r="K12" s="15">
        <v>0.73015873015873012</v>
      </c>
      <c r="L12" s="4">
        <v>9</v>
      </c>
      <c r="M12" s="4">
        <v>8</v>
      </c>
      <c r="N12" s="4">
        <v>17</v>
      </c>
      <c r="O12" s="4">
        <v>4</v>
      </c>
      <c r="P12" s="4">
        <v>4</v>
      </c>
    </row>
    <row r="13" spans="3:16" ht="92.5" customHeight="1" x14ac:dyDescent="1.65">
      <c r="C13" s="1" t="s">
        <v>86</v>
      </c>
      <c r="D13" s="1" t="s">
        <v>21</v>
      </c>
      <c r="E13" s="1" t="s">
        <v>34</v>
      </c>
      <c r="F13" s="4">
        <v>35</v>
      </c>
      <c r="G13" s="4">
        <v>61</v>
      </c>
      <c r="H13" s="11">
        <v>68</v>
      </c>
      <c r="I13" s="11">
        <v>56</v>
      </c>
      <c r="J13" s="4">
        <v>1</v>
      </c>
      <c r="K13" s="15">
        <v>0.92647058823529416</v>
      </c>
      <c r="L13" s="4">
        <v>5</v>
      </c>
      <c r="M13" s="4">
        <v>0</v>
      </c>
      <c r="N13" s="4">
        <v>5</v>
      </c>
      <c r="O13" s="4">
        <v>55</v>
      </c>
      <c r="P13" s="4">
        <v>2</v>
      </c>
    </row>
    <row r="14" spans="3:16" ht="92.5" customHeight="1" x14ac:dyDescent="1.65">
      <c r="C14" s="1" t="s">
        <v>87</v>
      </c>
      <c r="D14" s="1" t="s">
        <v>22</v>
      </c>
      <c r="E14" s="1" t="s">
        <v>23</v>
      </c>
      <c r="F14" s="4">
        <v>18</v>
      </c>
      <c r="G14" s="4">
        <v>57</v>
      </c>
      <c r="H14" s="11">
        <v>60</v>
      </c>
      <c r="I14" s="11">
        <v>47</v>
      </c>
      <c r="J14" s="4">
        <v>0</v>
      </c>
      <c r="K14" s="15">
        <v>0.85</v>
      </c>
      <c r="L14" s="4">
        <v>9</v>
      </c>
      <c r="M14" s="4">
        <v>0</v>
      </c>
      <c r="N14" s="4">
        <v>9</v>
      </c>
      <c r="O14" s="4">
        <v>45</v>
      </c>
      <c r="P14" s="14">
        <v>0</v>
      </c>
    </row>
    <row r="15" spans="3:16" ht="92.5" customHeight="1" x14ac:dyDescent="1.65">
      <c r="C15" s="1" t="s">
        <v>88</v>
      </c>
      <c r="D15" s="1" t="s">
        <v>24</v>
      </c>
      <c r="E15" s="1" t="s">
        <v>25</v>
      </c>
      <c r="F15" s="4">
        <v>6</v>
      </c>
      <c r="G15" s="4">
        <v>25</v>
      </c>
      <c r="H15" s="11">
        <v>32</v>
      </c>
      <c r="I15" s="11">
        <v>22</v>
      </c>
      <c r="J15" s="4">
        <v>0</v>
      </c>
      <c r="K15" s="15">
        <v>0.75</v>
      </c>
      <c r="L15" s="4">
        <v>6</v>
      </c>
      <c r="M15" s="4">
        <v>2</v>
      </c>
      <c r="N15" s="4">
        <v>8</v>
      </c>
      <c r="O15" s="4">
        <v>1</v>
      </c>
      <c r="P15" s="4">
        <v>0</v>
      </c>
    </row>
    <row r="16" spans="3:16" ht="92.5" customHeight="1" x14ac:dyDescent="1.65">
      <c r="C16" s="1" t="s">
        <v>89</v>
      </c>
      <c r="D16" s="1" t="s">
        <v>43</v>
      </c>
      <c r="E16" s="1" t="s">
        <v>35</v>
      </c>
      <c r="F16" s="4">
        <v>31</v>
      </c>
      <c r="G16" s="4">
        <v>34</v>
      </c>
      <c r="H16" s="11">
        <v>56</v>
      </c>
      <c r="I16" s="11">
        <v>36</v>
      </c>
      <c r="J16" s="4">
        <v>2</v>
      </c>
      <c r="K16" s="15">
        <v>0.75</v>
      </c>
      <c r="L16" s="4">
        <v>8</v>
      </c>
      <c r="M16" s="4">
        <v>6</v>
      </c>
      <c r="N16" s="4">
        <v>14</v>
      </c>
      <c r="O16" s="4">
        <v>6</v>
      </c>
      <c r="P16" s="4">
        <v>7</v>
      </c>
    </row>
    <row r="17" spans="3:16" ht="92.5" customHeight="1" x14ac:dyDescent="1.65">
      <c r="C17" s="1" t="s">
        <v>90</v>
      </c>
      <c r="D17" s="1" t="s">
        <v>30</v>
      </c>
      <c r="E17" s="1" t="s">
        <v>27</v>
      </c>
      <c r="F17" s="4">
        <v>23</v>
      </c>
      <c r="G17" s="4">
        <v>37</v>
      </c>
      <c r="H17" s="11">
        <v>59</v>
      </c>
      <c r="I17" s="11">
        <v>43</v>
      </c>
      <c r="J17" s="4">
        <v>2</v>
      </c>
      <c r="K17" s="15">
        <v>0.86440677966101698</v>
      </c>
      <c r="L17" s="4">
        <v>8</v>
      </c>
      <c r="M17" s="4">
        <v>0</v>
      </c>
      <c r="N17" s="4">
        <v>8</v>
      </c>
      <c r="O17" s="4">
        <v>26</v>
      </c>
      <c r="P17" s="4">
        <v>10</v>
      </c>
    </row>
    <row r="18" spans="3:16" ht="92.5" customHeight="1" x14ac:dyDescent="1.65">
      <c r="C18" s="1" t="s">
        <v>91</v>
      </c>
      <c r="D18" s="1" t="s">
        <v>36</v>
      </c>
      <c r="E18" s="1" t="s">
        <v>12</v>
      </c>
      <c r="F18" s="4">
        <v>9</v>
      </c>
      <c r="G18" s="4">
        <v>2</v>
      </c>
      <c r="H18" s="11">
        <v>12</v>
      </c>
      <c r="I18" s="11">
        <v>4</v>
      </c>
      <c r="J18" s="4">
        <v>0</v>
      </c>
      <c r="K18" s="15">
        <v>0.41666666666666669</v>
      </c>
      <c r="L18" s="4">
        <v>6</v>
      </c>
      <c r="M18" s="4">
        <v>1</v>
      </c>
      <c r="N18" s="4">
        <v>7</v>
      </c>
      <c r="O18" s="4">
        <v>0</v>
      </c>
      <c r="P18" s="4">
        <v>0</v>
      </c>
    </row>
    <row r="19" spans="3:16" ht="92.5" customHeight="1" x14ac:dyDescent="1.65">
      <c r="C19" s="21" t="s">
        <v>29</v>
      </c>
      <c r="D19" s="21"/>
      <c r="E19" s="21"/>
      <c r="F19" s="5">
        <f>SUM(F4:F18)</f>
        <v>408</v>
      </c>
      <c r="G19" s="5">
        <f t="shared" ref="G19:J19" si="0">SUM(G4:G18)</f>
        <v>654</v>
      </c>
      <c r="H19" s="5">
        <f t="shared" si="0"/>
        <v>876</v>
      </c>
      <c r="I19" s="5">
        <f t="shared" si="0"/>
        <v>546</v>
      </c>
      <c r="J19" s="5">
        <f t="shared" si="0"/>
        <v>18</v>
      </c>
      <c r="K19" s="16">
        <v>0.72</v>
      </c>
      <c r="L19" s="5">
        <f>SUM(L4:L18)</f>
        <v>194</v>
      </c>
      <c r="M19" s="5">
        <f t="shared" ref="M19" si="1">SUM(M4:M18)</f>
        <v>52</v>
      </c>
      <c r="N19" s="5">
        <f>SUM(N4:N18)</f>
        <v>246</v>
      </c>
      <c r="O19" s="5">
        <f t="shared" ref="O19:P19" si="2">SUM(O4:O18)</f>
        <v>211</v>
      </c>
      <c r="P19" s="5">
        <f t="shared" si="2"/>
        <v>53</v>
      </c>
    </row>
  </sheetData>
  <protectedRanges>
    <protectedRange sqref="I10 I12:I18" name="entry area_1_2"/>
  </protectedRanges>
  <mergeCells count="1">
    <mergeCell ref="C19:E19"/>
  </mergeCells>
  <dataValidations count="1">
    <dataValidation type="whole" allowBlank="1" showInputMessage="1" showErrorMessage="1" sqref="I12:I18 I10" xr:uid="{59B78893-0FA7-48B1-B67A-6D1912084F00}">
      <formula1>0</formula1>
      <formula2>500000</formula2>
    </dataValidation>
  </dataValidations>
  <pageMargins left="0.7" right="0.7" top="0.75" bottom="0.75" header="0.3" footer="0.3"/>
  <pageSetup paperSize="9" scale="14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60E1-09F4-4C17-923A-9B0E9FF0BC98}">
  <sheetPr codeName="Sheet14">
    <pageSetUpPr fitToPage="1"/>
  </sheetPr>
  <dimension ref="C2:P19"/>
  <sheetViews>
    <sheetView rightToLeft="1" topLeftCell="C13" zoomScale="30" zoomScaleNormal="30" workbookViewId="0">
      <selection activeCell="C1" sqref="A1:XFD1048576"/>
    </sheetView>
  </sheetViews>
  <sheetFormatPr defaultColWidth="8.7265625" defaultRowHeight="92.5" customHeight="1" x14ac:dyDescent="1.65"/>
  <cols>
    <col min="1" max="2" width="8.7265625" style="8"/>
    <col min="3" max="3" width="55.81640625" style="8" bestFit="1" customWidth="1"/>
    <col min="4" max="4" width="59.81640625" style="8" bestFit="1" customWidth="1"/>
    <col min="5" max="5" width="38.54296875" style="8" bestFit="1" customWidth="1"/>
    <col min="6" max="6" width="46.1796875" style="8" bestFit="1" customWidth="1"/>
    <col min="7" max="7" width="46.453125" style="8" bestFit="1" customWidth="1"/>
    <col min="8" max="8" width="61.90625" style="8" bestFit="1" customWidth="1"/>
    <col min="9" max="9" width="63.7265625" style="8" bestFit="1" customWidth="1"/>
    <col min="10" max="10" width="58.90625" style="8" bestFit="1" customWidth="1"/>
    <col min="11" max="11" width="43.08984375" style="8" bestFit="1" customWidth="1"/>
    <col min="12" max="12" width="59.1796875" style="8" bestFit="1" customWidth="1"/>
    <col min="13" max="13" width="77.36328125" style="8" bestFit="1" customWidth="1"/>
    <col min="14" max="14" width="46.7265625" style="8" bestFit="1" customWidth="1"/>
    <col min="15" max="15" width="56.1796875" style="8" bestFit="1" customWidth="1"/>
    <col min="16" max="16" width="68.90625" style="8" bestFit="1" customWidth="1"/>
    <col min="17" max="16384" width="8.7265625" style="8"/>
  </cols>
  <sheetData>
    <row r="2" spans="3:16" ht="92.5" customHeight="1" x14ac:dyDescent="1.65">
      <c r="C2" s="17" t="s">
        <v>52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6"/>
    </row>
    <row r="3" spans="3:16" ht="92.5" customHeight="1" x14ac:dyDescent="1.65">
      <c r="C3" s="1" t="s">
        <v>0</v>
      </c>
      <c r="D3" s="3" t="s">
        <v>37</v>
      </c>
      <c r="E3" s="3" t="s">
        <v>38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39</v>
      </c>
      <c r="K3" s="3" t="s">
        <v>40</v>
      </c>
      <c r="L3" s="9" t="s">
        <v>6</v>
      </c>
      <c r="M3" s="9" t="s">
        <v>41</v>
      </c>
      <c r="N3" s="3" t="s">
        <v>42</v>
      </c>
      <c r="O3" s="3" t="s">
        <v>5</v>
      </c>
      <c r="P3" s="7" t="s">
        <v>44</v>
      </c>
    </row>
    <row r="4" spans="3:16" ht="92.5" customHeight="1" x14ac:dyDescent="1.65">
      <c r="C4" s="1" t="s">
        <v>77</v>
      </c>
      <c r="D4" s="1" t="s">
        <v>7</v>
      </c>
      <c r="E4" s="1" t="s">
        <v>8</v>
      </c>
      <c r="F4" s="4">
        <v>20</v>
      </c>
      <c r="G4" s="4">
        <v>9</v>
      </c>
      <c r="H4" s="4">
        <v>27</v>
      </c>
      <c r="I4" s="4">
        <v>9</v>
      </c>
      <c r="J4" s="4">
        <v>1</v>
      </c>
      <c r="K4" s="15">
        <v>0.37</v>
      </c>
      <c r="L4" s="4">
        <v>16</v>
      </c>
      <c r="M4" s="4">
        <v>1</v>
      </c>
      <c r="N4" s="10">
        <v>17</v>
      </c>
      <c r="O4" s="4">
        <v>0</v>
      </c>
      <c r="P4" s="4">
        <v>0</v>
      </c>
    </row>
    <row r="5" spans="3:16" ht="92.5" customHeight="1" x14ac:dyDescent="1.65">
      <c r="C5" s="1" t="s">
        <v>78</v>
      </c>
      <c r="D5" s="1" t="s">
        <v>31</v>
      </c>
      <c r="E5" s="1" t="s">
        <v>26</v>
      </c>
      <c r="F5" s="4">
        <v>63</v>
      </c>
      <c r="G5" s="4">
        <v>72</v>
      </c>
      <c r="H5" s="4">
        <v>122</v>
      </c>
      <c r="I5" s="4">
        <v>55</v>
      </c>
      <c r="J5" s="4">
        <v>18</v>
      </c>
      <c r="K5" s="15">
        <v>0.6</v>
      </c>
      <c r="L5" s="4">
        <v>6</v>
      </c>
      <c r="M5" s="4">
        <v>43</v>
      </c>
      <c r="N5" s="10">
        <v>49</v>
      </c>
      <c r="O5" s="4">
        <v>27</v>
      </c>
      <c r="P5" s="4">
        <v>8</v>
      </c>
    </row>
    <row r="6" spans="3:16" ht="92.5" customHeight="1" x14ac:dyDescent="1.65">
      <c r="C6" s="1" t="s">
        <v>79</v>
      </c>
      <c r="D6" s="1" t="s">
        <v>10</v>
      </c>
      <c r="E6" s="1" t="s">
        <v>11</v>
      </c>
      <c r="F6" s="4">
        <v>9</v>
      </c>
      <c r="G6" s="4">
        <v>42</v>
      </c>
      <c r="H6" s="4">
        <v>48</v>
      </c>
      <c r="I6" s="4">
        <v>35</v>
      </c>
      <c r="J6" s="4">
        <v>0</v>
      </c>
      <c r="K6" s="15">
        <v>0.73</v>
      </c>
      <c r="L6" s="4">
        <v>13</v>
      </c>
      <c r="M6" s="4">
        <v>0</v>
      </c>
      <c r="N6" s="10">
        <v>13</v>
      </c>
      <c r="O6" s="13">
        <v>19</v>
      </c>
      <c r="P6" s="4">
        <v>9</v>
      </c>
    </row>
    <row r="7" spans="3:16" ht="92.5" customHeight="1" x14ac:dyDescent="1.65">
      <c r="C7" s="1" t="s">
        <v>80</v>
      </c>
      <c r="D7" s="1" t="s">
        <v>32</v>
      </c>
      <c r="E7" s="1" t="s">
        <v>9</v>
      </c>
      <c r="F7" s="4">
        <v>33</v>
      </c>
      <c r="G7" s="4">
        <v>43</v>
      </c>
      <c r="H7" s="4">
        <v>64</v>
      </c>
      <c r="I7" s="4">
        <v>34</v>
      </c>
      <c r="J7" s="4">
        <v>5</v>
      </c>
      <c r="K7" s="15">
        <v>0.61</v>
      </c>
      <c r="L7" s="4">
        <v>25</v>
      </c>
      <c r="M7" s="4">
        <v>0</v>
      </c>
      <c r="N7" s="10">
        <v>25</v>
      </c>
      <c r="O7" s="4">
        <v>3</v>
      </c>
      <c r="P7" s="4">
        <v>0</v>
      </c>
    </row>
    <row r="8" spans="3:16" ht="92.5" customHeight="1" x14ac:dyDescent="1.65">
      <c r="C8" s="1" t="s">
        <v>81</v>
      </c>
      <c r="D8" s="1" t="s">
        <v>13</v>
      </c>
      <c r="E8" s="1" t="s">
        <v>14</v>
      </c>
      <c r="F8" s="4">
        <v>22</v>
      </c>
      <c r="G8" s="4">
        <v>38</v>
      </c>
      <c r="H8" s="4">
        <v>59</v>
      </c>
      <c r="I8" s="4">
        <v>39</v>
      </c>
      <c r="J8" s="4">
        <v>5</v>
      </c>
      <c r="K8" s="15">
        <v>0.75</v>
      </c>
      <c r="L8" s="4">
        <v>14</v>
      </c>
      <c r="M8" s="4">
        <v>1</v>
      </c>
      <c r="N8" s="10">
        <v>15</v>
      </c>
      <c r="O8" s="4">
        <v>4</v>
      </c>
      <c r="P8" s="4">
        <v>8</v>
      </c>
    </row>
    <row r="9" spans="3:16" ht="92.5" customHeight="1" x14ac:dyDescent="1.65">
      <c r="C9" s="1" t="s">
        <v>82</v>
      </c>
      <c r="D9" s="1" t="s">
        <v>15</v>
      </c>
      <c r="E9" s="1" t="s">
        <v>33</v>
      </c>
      <c r="F9" s="4">
        <v>13</v>
      </c>
      <c r="G9" s="4">
        <v>43</v>
      </c>
      <c r="H9" s="4">
        <v>67</v>
      </c>
      <c r="I9" s="4">
        <v>39</v>
      </c>
      <c r="J9" s="4">
        <v>2</v>
      </c>
      <c r="K9" s="15">
        <v>0.61</v>
      </c>
      <c r="L9" s="4">
        <v>10</v>
      </c>
      <c r="M9" s="4">
        <v>16</v>
      </c>
      <c r="N9" s="10">
        <v>26</v>
      </c>
      <c r="O9" s="4">
        <v>0</v>
      </c>
      <c r="P9" s="4">
        <v>0</v>
      </c>
    </row>
    <row r="10" spans="3:16" ht="92.5" customHeight="1" x14ac:dyDescent="1.65">
      <c r="C10" s="1" t="s">
        <v>83</v>
      </c>
      <c r="D10" s="1" t="s">
        <v>16</v>
      </c>
      <c r="E10" s="1" t="s">
        <v>17</v>
      </c>
      <c r="F10" s="4">
        <v>72</v>
      </c>
      <c r="G10" s="4">
        <v>69</v>
      </c>
      <c r="H10" s="4">
        <v>104</v>
      </c>
      <c r="I10" s="11">
        <v>75</v>
      </c>
      <c r="J10" s="4">
        <v>9</v>
      </c>
      <c r="K10" s="15">
        <v>0.81</v>
      </c>
      <c r="L10" s="4">
        <v>17</v>
      </c>
      <c r="M10" s="4">
        <v>3</v>
      </c>
      <c r="N10" s="10">
        <v>20</v>
      </c>
      <c r="O10" s="4">
        <v>25</v>
      </c>
      <c r="P10" s="4">
        <v>21</v>
      </c>
    </row>
    <row r="11" spans="3:16" ht="92.5" customHeight="1" x14ac:dyDescent="1.65">
      <c r="C11" s="1" t="s">
        <v>84</v>
      </c>
      <c r="D11" s="1" t="s">
        <v>18</v>
      </c>
      <c r="E11" s="1" t="s">
        <v>28</v>
      </c>
      <c r="F11" s="10">
        <v>22</v>
      </c>
      <c r="G11" s="10">
        <v>36</v>
      </c>
      <c r="H11" s="11">
        <v>68</v>
      </c>
      <c r="I11" s="4">
        <v>37</v>
      </c>
      <c r="J11" s="4">
        <v>3</v>
      </c>
      <c r="K11" s="15">
        <v>0.59</v>
      </c>
      <c r="L11" s="4">
        <v>0</v>
      </c>
      <c r="M11" s="4">
        <v>28</v>
      </c>
      <c r="N11" s="10">
        <v>28</v>
      </c>
      <c r="O11" s="4">
        <v>2</v>
      </c>
      <c r="P11" s="4">
        <v>0</v>
      </c>
    </row>
    <row r="12" spans="3:16" ht="92.5" customHeight="1" x14ac:dyDescent="1.65">
      <c r="C12" s="1" t="s">
        <v>85</v>
      </c>
      <c r="D12" s="1" t="s">
        <v>19</v>
      </c>
      <c r="E12" s="1" t="s">
        <v>20</v>
      </c>
      <c r="F12" s="4">
        <v>20</v>
      </c>
      <c r="G12" s="4">
        <v>37</v>
      </c>
      <c r="H12" s="11">
        <v>58</v>
      </c>
      <c r="I12" s="11">
        <v>40</v>
      </c>
      <c r="J12" s="4">
        <v>5</v>
      </c>
      <c r="K12" s="15">
        <v>0.78</v>
      </c>
      <c r="L12" s="4">
        <v>7</v>
      </c>
      <c r="M12" s="4">
        <v>6</v>
      </c>
      <c r="N12" s="4">
        <v>13</v>
      </c>
      <c r="O12" s="4">
        <v>5</v>
      </c>
      <c r="P12" s="4">
        <v>7</v>
      </c>
    </row>
    <row r="13" spans="3:16" ht="92.5" customHeight="1" x14ac:dyDescent="1.65">
      <c r="C13" s="1" t="s">
        <v>86</v>
      </c>
      <c r="D13" s="1" t="s">
        <v>21</v>
      </c>
      <c r="E13" s="1" t="s">
        <v>34</v>
      </c>
      <c r="F13" s="4">
        <v>29</v>
      </c>
      <c r="G13" s="4">
        <v>47</v>
      </c>
      <c r="H13" s="11">
        <v>59</v>
      </c>
      <c r="I13" s="11">
        <v>55</v>
      </c>
      <c r="J13" s="4">
        <v>2</v>
      </c>
      <c r="K13" s="15">
        <v>0.97</v>
      </c>
      <c r="L13" s="4">
        <v>2</v>
      </c>
      <c r="M13" s="4">
        <v>0</v>
      </c>
      <c r="N13" s="4">
        <v>2</v>
      </c>
      <c r="O13" s="4">
        <v>55</v>
      </c>
      <c r="P13" s="4">
        <v>2</v>
      </c>
    </row>
    <row r="14" spans="3:16" ht="92.5" customHeight="1" x14ac:dyDescent="1.65">
      <c r="C14" s="1" t="s">
        <v>87</v>
      </c>
      <c r="D14" s="1" t="s">
        <v>22</v>
      </c>
      <c r="E14" s="1" t="s">
        <v>23</v>
      </c>
      <c r="F14" s="4">
        <v>37</v>
      </c>
      <c r="G14" s="4">
        <v>47</v>
      </c>
      <c r="H14" s="11">
        <v>62</v>
      </c>
      <c r="I14" s="11">
        <v>59</v>
      </c>
      <c r="J14" s="4">
        <v>2</v>
      </c>
      <c r="K14" s="15">
        <v>0.98</v>
      </c>
      <c r="L14" s="4">
        <v>1</v>
      </c>
      <c r="M14" s="4">
        <v>0</v>
      </c>
      <c r="N14" s="4">
        <v>1</v>
      </c>
      <c r="O14" s="4">
        <v>59</v>
      </c>
      <c r="P14" s="14">
        <v>6</v>
      </c>
    </row>
    <row r="15" spans="3:16" ht="92.5" customHeight="1" x14ac:dyDescent="1.65">
      <c r="C15" s="1" t="s">
        <v>88</v>
      </c>
      <c r="D15" s="1" t="s">
        <v>24</v>
      </c>
      <c r="E15" s="1" t="s">
        <v>25</v>
      </c>
      <c r="F15" s="4">
        <v>18</v>
      </c>
      <c r="G15" s="4">
        <v>21</v>
      </c>
      <c r="H15" s="11">
        <v>33</v>
      </c>
      <c r="I15" s="11">
        <v>24</v>
      </c>
      <c r="J15" s="4">
        <v>0</v>
      </c>
      <c r="K15" s="15">
        <v>0.73</v>
      </c>
      <c r="L15" s="4">
        <v>9</v>
      </c>
      <c r="M15" s="4">
        <v>0</v>
      </c>
      <c r="N15" s="4">
        <v>9</v>
      </c>
      <c r="O15" s="4">
        <v>4</v>
      </c>
      <c r="P15" s="4">
        <v>0</v>
      </c>
    </row>
    <row r="16" spans="3:16" ht="92.5" customHeight="1" x14ac:dyDescent="1.65">
      <c r="C16" s="1" t="s">
        <v>89</v>
      </c>
      <c r="D16" s="1" t="s">
        <v>43</v>
      </c>
      <c r="E16" s="1" t="s">
        <v>35</v>
      </c>
      <c r="F16" s="4">
        <v>12</v>
      </c>
      <c r="G16" s="4">
        <v>30</v>
      </c>
      <c r="H16" s="11">
        <v>50</v>
      </c>
      <c r="I16" s="11">
        <v>29</v>
      </c>
      <c r="J16" s="4">
        <v>10</v>
      </c>
      <c r="K16" s="15">
        <v>0.78</v>
      </c>
      <c r="L16" s="4">
        <v>6</v>
      </c>
      <c r="M16" s="4">
        <v>5</v>
      </c>
      <c r="N16" s="4">
        <v>11</v>
      </c>
      <c r="O16" s="4">
        <v>5</v>
      </c>
      <c r="P16" s="4">
        <v>8</v>
      </c>
    </row>
    <row r="17" spans="3:16" ht="92.5" customHeight="1" x14ac:dyDescent="1.65">
      <c r="C17" s="1" t="s">
        <v>90</v>
      </c>
      <c r="D17" s="1" t="s">
        <v>30</v>
      </c>
      <c r="E17" s="1" t="s">
        <v>27</v>
      </c>
      <c r="F17" s="4">
        <v>21</v>
      </c>
      <c r="G17" s="4">
        <v>33</v>
      </c>
      <c r="H17" s="11">
        <v>43</v>
      </c>
      <c r="I17" s="11">
        <v>29</v>
      </c>
      <c r="J17" s="4">
        <v>3</v>
      </c>
      <c r="K17" s="15">
        <v>0.74</v>
      </c>
      <c r="L17" s="4">
        <v>11</v>
      </c>
      <c r="M17" s="4">
        <v>0</v>
      </c>
      <c r="N17" s="4">
        <v>11</v>
      </c>
      <c r="O17" s="4">
        <v>29</v>
      </c>
      <c r="P17" s="4">
        <v>7</v>
      </c>
    </row>
    <row r="18" spans="3:16" ht="92.5" customHeight="1" x14ac:dyDescent="1.65">
      <c r="C18" s="1" t="s">
        <v>91</v>
      </c>
      <c r="D18" s="1" t="s">
        <v>36</v>
      </c>
      <c r="E18" s="1" t="s">
        <v>12</v>
      </c>
      <c r="F18" s="4">
        <v>3</v>
      </c>
      <c r="G18" s="4">
        <v>4</v>
      </c>
      <c r="H18" s="11">
        <v>11</v>
      </c>
      <c r="I18" s="11">
        <v>2</v>
      </c>
      <c r="J18" s="4">
        <v>0</v>
      </c>
      <c r="K18" s="15">
        <v>0.18</v>
      </c>
      <c r="L18" s="4">
        <v>7</v>
      </c>
      <c r="M18" s="4">
        <v>2</v>
      </c>
      <c r="N18" s="4">
        <v>9</v>
      </c>
      <c r="O18" s="4">
        <v>0</v>
      </c>
      <c r="P18" s="4">
        <v>0</v>
      </c>
    </row>
    <row r="19" spans="3:16" ht="92.5" customHeight="1" x14ac:dyDescent="1.65">
      <c r="C19" s="21" t="s">
        <v>29</v>
      </c>
      <c r="D19" s="21"/>
      <c r="E19" s="21"/>
      <c r="F19" s="5">
        <f>SUM(F4:F18)</f>
        <v>394</v>
      </c>
      <c r="G19" s="5">
        <f t="shared" ref="G19:J19" si="0">SUM(G4:G18)</f>
        <v>571</v>
      </c>
      <c r="H19" s="5">
        <f t="shared" si="0"/>
        <v>875</v>
      </c>
      <c r="I19" s="5">
        <f t="shared" si="0"/>
        <v>561</v>
      </c>
      <c r="J19" s="5">
        <f t="shared" si="0"/>
        <v>65</v>
      </c>
      <c r="K19" s="16">
        <v>0.72</v>
      </c>
      <c r="L19" s="5">
        <f>SUM(L4:L18)</f>
        <v>144</v>
      </c>
      <c r="M19" s="5">
        <f t="shared" ref="M19" si="1">SUM(M4:M18)</f>
        <v>105</v>
      </c>
      <c r="N19" s="5">
        <f>SUM(N4:N18)</f>
        <v>249</v>
      </c>
      <c r="O19" s="5">
        <f t="shared" ref="O19:P19" si="2">SUM(O4:O18)</f>
        <v>237</v>
      </c>
      <c r="P19" s="5">
        <f t="shared" si="2"/>
        <v>76</v>
      </c>
    </row>
  </sheetData>
  <protectedRanges>
    <protectedRange sqref="I10 I12:I18" name="entry area_1_2"/>
  </protectedRanges>
  <mergeCells count="1">
    <mergeCell ref="C19:E19"/>
  </mergeCells>
  <dataValidations count="1">
    <dataValidation type="whole" allowBlank="1" showInputMessage="1" showErrorMessage="1" sqref="I12:I18 I10" xr:uid="{BB635BF7-59AE-4B99-BFFF-71885D4C1A42}">
      <formula1>0</formula1>
      <formula2>500000</formula2>
    </dataValidation>
  </dataValidations>
  <pageMargins left="0.7" right="0.7" top="0.75" bottom="0.75" header="0.3" footer="0.3"/>
  <pageSetup paperSize="9" scale="14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32B8-5E0E-4AD5-A01D-A9CDC8F7A42A}">
  <sheetPr>
    <pageSetUpPr fitToPage="1"/>
  </sheetPr>
  <dimension ref="C2:P19"/>
  <sheetViews>
    <sheetView rightToLeft="1" topLeftCell="A13" zoomScale="30" zoomScaleNormal="30" workbookViewId="0">
      <selection sqref="A1:XFD1048576"/>
    </sheetView>
  </sheetViews>
  <sheetFormatPr defaultColWidth="8.7265625" defaultRowHeight="92.5" customHeight="1" x14ac:dyDescent="1.65"/>
  <cols>
    <col min="1" max="1" width="8.7265625" style="8"/>
    <col min="2" max="2" width="8.7265625" style="8" customWidth="1"/>
    <col min="3" max="3" width="55.81640625" style="8" bestFit="1" customWidth="1"/>
    <col min="4" max="4" width="59.81640625" style="8" bestFit="1" customWidth="1"/>
    <col min="5" max="5" width="38.54296875" style="8" bestFit="1" customWidth="1"/>
    <col min="6" max="6" width="46.1796875" style="8" bestFit="1" customWidth="1"/>
    <col min="7" max="7" width="46.453125" style="8" bestFit="1" customWidth="1"/>
    <col min="8" max="8" width="61.90625" style="8" bestFit="1" customWidth="1"/>
    <col min="9" max="9" width="63.7265625" style="8" bestFit="1" customWidth="1"/>
    <col min="10" max="10" width="61.26953125" style="8" bestFit="1" customWidth="1"/>
    <col min="11" max="11" width="43.08984375" style="8" bestFit="1" customWidth="1"/>
    <col min="12" max="12" width="59.1796875" style="8" bestFit="1" customWidth="1"/>
    <col min="13" max="13" width="77.36328125" style="8" bestFit="1" customWidth="1"/>
    <col min="14" max="14" width="46.7265625" style="8" bestFit="1" customWidth="1"/>
    <col min="15" max="15" width="56.1796875" style="8" bestFit="1" customWidth="1"/>
    <col min="16" max="16" width="68.90625" style="8" bestFit="1" customWidth="1"/>
    <col min="17" max="16384" width="8.7265625" style="8"/>
  </cols>
  <sheetData>
    <row r="2" spans="3:16" ht="92.5" customHeight="1" x14ac:dyDescent="1.65">
      <c r="C2" s="17" t="s">
        <v>53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6"/>
    </row>
    <row r="3" spans="3:16" ht="92.5" customHeight="1" x14ac:dyDescent="1.65">
      <c r="C3" s="1" t="s">
        <v>0</v>
      </c>
      <c r="D3" s="3" t="s">
        <v>37</v>
      </c>
      <c r="E3" s="3" t="s">
        <v>38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46</v>
      </c>
      <c r="K3" s="3" t="s">
        <v>40</v>
      </c>
      <c r="L3" s="9" t="s">
        <v>6</v>
      </c>
      <c r="M3" s="9" t="s">
        <v>41</v>
      </c>
      <c r="N3" s="3" t="s">
        <v>42</v>
      </c>
      <c r="O3" s="3" t="s">
        <v>5</v>
      </c>
      <c r="P3" s="7" t="s">
        <v>44</v>
      </c>
    </row>
    <row r="4" spans="3:16" ht="92.5" customHeight="1" x14ac:dyDescent="1.65">
      <c r="C4" s="1" t="s">
        <v>77</v>
      </c>
      <c r="D4" s="1" t="s">
        <v>7</v>
      </c>
      <c r="E4" s="1" t="s">
        <v>8</v>
      </c>
      <c r="F4" s="4">
        <v>11</v>
      </c>
      <c r="G4" s="4">
        <v>5</v>
      </c>
      <c r="H4" s="4">
        <v>26</v>
      </c>
      <c r="I4" s="4">
        <v>6</v>
      </c>
      <c r="J4" s="4">
        <v>0</v>
      </c>
      <c r="K4" s="15">
        <v>0.23076923076923078</v>
      </c>
      <c r="L4" s="4">
        <v>18</v>
      </c>
      <c r="M4" s="4">
        <v>2</v>
      </c>
      <c r="N4" s="10">
        <v>20</v>
      </c>
      <c r="O4" s="4">
        <v>0</v>
      </c>
      <c r="P4" s="4">
        <v>0</v>
      </c>
    </row>
    <row r="5" spans="3:16" ht="92.5" customHeight="1" x14ac:dyDescent="1.65">
      <c r="C5" s="1" t="s">
        <v>78</v>
      </c>
      <c r="D5" s="1" t="s">
        <v>31</v>
      </c>
      <c r="E5" s="1" t="s">
        <v>26</v>
      </c>
      <c r="F5" s="4">
        <v>47</v>
      </c>
      <c r="G5" s="4">
        <v>47</v>
      </c>
      <c r="H5" s="4">
        <v>107</v>
      </c>
      <c r="I5" s="4">
        <v>46</v>
      </c>
      <c r="J5" s="4">
        <v>6</v>
      </c>
      <c r="K5" s="15">
        <v>0.48598130841121495</v>
      </c>
      <c r="L5" s="4">
        <v>48</v>
      </c>
      <c r="M5" s="4">
        <v>7</v>
      </c>
      <c r="N5" s="10">
        <v>55</v>
      </c>
      <c r="O5" s="4">
        <v>19</v>
      </c>
      <c r="P5" s="4">
        <v>137</v>
      </c>
    </row>
    <row r="6" spans="3:16" ht="92.5" customHeight="1" x14ac:dyDescent="1.65">
      <c r="C6" s="1" t="s">
        <v>79</v>
      </c>
      <c r="D6" s="1" t="s">
        <v>10</v>
      </c>
      <c r="E6" s="1" t="s">
        <v>11</v>
      </c>
      <c r="F6" s="4">
        <v>14</v>
      </c>
      <c r="G6" s="4">
        <v>34</v>
      </c>
      <c r="H6" s="4">
        <v>55</v>
      </c>
      <c r="I6" s="4">
        <v>52</v>
      </c>
      <c r="J6" s="4">
        <v>0</v>
      </c>
      <c r="K6" s="15">
        <v>0.94545454545454544</v>
      </c>
      <c r="L6" s="4">
        <v>3</v>
      </c>
      <c r="M6" s="4">
        <v>0</v>
      </c>
      <c r="N6" s="10">
        <v>3</v>
      </c>
      <c r="O6" s="4">
        <v>34</v>
      </c>
      <c r="P6" s="4">
        <v>64</v>
      </c>
    </row>
    <row r="7" spans="3:16" ht="92.5" customHeight="1" x14ac:dyDescent="1.65">
      <c r="C7" s="1" t="s">
        <v>80</v>
      </c>
      <c r="D7" s="1" t="s">
        <v>32</v>
      </c>
      <c r="E7" s="1" t="s">
        <v>9</v>
      </c>
      <c r="F7" s="4">
        <v>23</v>
      </c>
      <c r="G7" s="4">
        <v>29</v>
      </c>
      <c r="H7" s="4">
        <v>61</v>
      </c>
      <c r="I7" s="4">
        <v>41</v>
      </c>
      <c r="J7" s="4">
        <v>2</v>
      </c>
      <c r="K7" s="15">
        <v>0.70491803278688525</v>
      </c>
      <c r="L7" s="4">
        <v>18</v>
      </c>
      <c r="M7" s="4">
        <v>0</v>
      </c>
      <c r="N7" s="10">
        <v>18</v>
      </c>
      <c r="O7" s="4">
        <v>4</v>
      </c>
      <c r="P7" s="4">
        <v>49</v>
      </c>
    </row>
    <row r="8" spans="3:16" ht="92.5" customHeight="1" x14ac:dyDescent="1.65">
      <c r="C8" s="1" t="s">
        <v>81</v>
      </c>
      <c r="D8" s="1" t="s">
        <v>13</v>
      </c>
      <c r="E8" s="1" t="s">
        <v>14</v>
      </c>
      <c r="F8" s="4">
        <v>23</v>
      </c>
      <c r="G8" s="4">
        <v>26</v>
      </c>
      <c r="H8" s="4">
        <v>49</v>
      </c>
      <c r="I8" s="4">
        <v>28</v>
      </c>
      <c r="J8" s="4">
        <v>0</v>
      </c>
      <c r="K8" s="15">
        <v>0.5714285714285714</v>
      </c>
      <c r="L8" s="4">
        <v>21</v>
      </c>
      <c r="M8" s="4">
        <v>0</v>
      </c>
      <c r="N8" s="10">
        <v>21</v>
      </c>
      <c r="O8" s="4">
        <v>5</v>
      </c>
      <c r="P8" s="4">
        <v>55</v>
      </c>
    </row>
    <row r="9" spans="3:16" ht="92.5" customHeight="1" x14ac:dyDescent="1.65">
      <c r="C9" s="1" t="s">
        <v>82</v>
      </c>
      <c r="D9" s="1" t="s">
        <v>15</v>
      </c>
      <c r="E9" s="1" t="s">
        <v>33</v>
      </c>
      <c r="F9" s="4">
        <v>13</v>
      </c>
      <c r="G9" s="4">
        <v>24</v>
      </c>
      <c r="H9" s="4">
        <v>56</v>
      </c>
      <c r="I9" s="4">
        <v>31</v>
      </c>
      <c r="J9" s="4">
        <v>4</v>
      </c>
      <c r="K9" s="15">
        <v>0.625</v>
      </c>
      <c r="L9" s="4">
        <v>8</v>
      </c>
      <c r="M9" s="4">
        <v>13</v>
      </c>
      <c r="N9" s="10">
        <v>21</v>
      </c>
      <c r="O9" s="4">
        <v>0</v>
      </c>
      <c r="P9" s="4">
        <v>52</v>
      </c>
    </row>
    <row r="10" spans="3:16" ht="92.5" customHeight="1" x14ac:dyDescent="1.65">
      <c r="C10" s="1" t="s">
        <v>83</v>
      </c>
      <c r="D10" s="1" t="s">
        <v>16</v>
      </c>
      <c r="E10" s="1" t="s">
        <v>17</v>
      </c>
      <c r="F10" s="4">
        <v>27</v>
      </c>
      <c r="G10" s="4">
        <v>47</v>
      </c>
      <c r="H10" s="4">
        <v>72</v>
      </c>
      <c r="I10" s="11">
        <v>34</v>
      </c>
      <c r="J10" s="4">
        <v>3</v>
      </c>
      <c r="K10" s="15">
        <v>0.51388888888888884</v>
      </c>
      <c r="L10" s="4">
        <v>29</v>
      </c>
      <c r="M10" s="4">
        <v>6</v>
      </c>
      <c r="N10" s="10">
        <v>35</v>
      </c>
      <c r="O10" s="4">
        <v>5</v>
      </c>
      <c r="P10" s="4">
        <v>88</v>
      </c>
    </row>
    <row r="11" spans="3:16" ht="92.5" customHeight="1" x14ac:dyDescent="1.65">
      <c r="C11" s="1" t="s">
        <v>84</v>
      </c>
      <c r="D11" s="1" t="s">
        <v>18</v>
      </c>
      <c r="E11" s="1" t="s">
        <v>28</v>
      </c>
      <c r="F11" s="10">
        <v>18</v>
      </c>
      <c r="G11" s="10">
        <v>22</v>
      </c>
      <c r="H11" s="11">
        <v>51</v>
      </c>
      <c r="I11" s="4">
        <v>5</v>
      </c>
      <c r="J11" s="4">
        <v>2</v>
      </c>
      <c r="K11" s="15">
        <v>0.13725490196078433</v>
      </c>
      <c r="L11" s="4">
        <v>31</v>
      </c>
      <c r="M11" s="4">
        <v>13</v>
      </c>
      <c r="N11" s="10">
        <v>44</v>
      </c>
      <c r="O11" s="4">
        <v>2</v>
      </c>
      <c r="P11" s="4">
        <v>41</v>
      </c>
    </row>
    <row r="12" spans="3:16" ht="92.5" customHeight="1" x14ac:dyDescent="1.65">
      <c r="C12" s="1" t="s">
        <v>85</v>
      </c>
      <c r="D12" s="1" t="s">
        <v>19</v>
      </c>
      <c r="E12" s="1" t="s">
        <v>20</v>
      </c>
      <c r="F12" s="4">
        <v>14</v>
      </c>
      <c r="G12" s="4">
        <v>20</v>
      </c>
      <c r="H12" s="11">
        <v>31</v>
      </c>
      <c r="I12" s="11">
        <v>17</v>
      </c>
      <c r="J12" s="4">
        <v>3</v>
      </c>
      <c r="K12" s="15">
        <v>0.64516129032258063</v>
      </c>
      <c r="L12" s="4">
        <v>8</v>
      </c>
      <c r="M12" s="4">
        <v>3</v>
      </c>
      <c r="N12" s="4">
        <v>11</v>
      </c>
      <c r="O12" s="4">
        <v>2</v>
      </c>
      <c r="P12" s="4">
        <v>22</v>
      </c>
    </row>
    <row r="13" spans="3:16" ht="92.5" customHeight="1" x14ac:dyDescent="1.65">
      <c r="C13" s="1" t="s">
        <v>86</v>
      </c>
      <c r="D13" s="1" t="s">
        <v>21</v>
      </c>
      <c r="E13" s="1" t="s">
        <v>34</v>
      </c>
      <c r="F13" s="4">
        <v>8</v>
      </c>
      <c r="G13" s="4">
        <v>32</v>
      </c>
      <c r="H13" s="11">
        <v>29</v>
      </c>
      <c r="I13" s="11">
        <v>28</v>
      </c>
      <c r="J13" s="4">
        <v>0</v>
      </c>
      <c r="K13" s="15">
        <v>0.96551724137931039</v>
      </c>
      <c r="L13" s="4">
        <v>1</v>
      </c>
      <c r="M13" s="4">
        <v>0</v>
      </c>
      <c r="N13" s="4">
        <v>1</v>
      </c>
      <c r="O13" s="4">
        <v>28</v>
      </c>
      <c r="P13" s="4">
        <v>31</v>
      </c>
    </row>
    <row r="14" spans="3:16" ht="92.5" customHeight="1" x14ac:dyDescent="1.65">
      <c r="C14" s="1" t="s">
        <v>87</v>
      </c>
      <c r="D14" s="1" t="s">
        <v>22</v>
      </c>
      <c r="E14" s="1" t="s">
        <v>23</v>
      </c>
      <c r="F14" s="4">
        <v>11</v>
      </c>
      <c r="G14" s="4">
        <v>28</v>
      </c>
      <c r="H14" s="11">
        <v>28</v>
      </c>
      <c r="I14" s="11">
        <v>19</v>
      </c>
      <c r="J14" s="4">
        <v>0</v>
      </c>
      <c r="K14" s="15">
        <v>0.6785714285714286</v>
      </c>
      <c r="L14" s="4">
        <v>9</v>
      </c>
      <c r="M14" s="4">
        <v>0</v>
      </c>
      <c r="N14" s="4">
        <v>9</v>
      </c>
      <c r="O14" s="4">
        <v>19</v>
      </c>
      <c r="P14" s="14">
        <v>32</v>
      </c>
    </row>
    <row r="15" spans="3:16" ht="92.5" customHeight="1" x14ac:dyDescent="1.65">
      <c r="C15" s="1" t="s">
        <v>88</v>
      </c>
      <c r="D15" s="1" t="s">
        <v>24</v>
      </c>
      <c r="E15" s="1" t="s">
        <v>25</v>
      </c>
      <c r="F15" s="4">
        <v>6</v>
      </c>
      <c r="G15" s="4">
        <v>12</v>
      </c>
      <c r="H15" s="11">
        <v>18</v>
      </c>
      <c r="I15" s="11">
        <v>11</v>
      </c>
      <c r="J15" s="4">
        <v>2</v>
      </c>
      <c r="K15" s="15">
        <v>0.72222222222222221</v>
      </c>
      <c r="L15" s="4">
        <v>5</v>
      </c>
      <c r="M15" s="4">
        <v>0</v>
      </c>
      <c r="N15" s="4">
        <v>5</v>
      </c>
      <c r="O15" s="4">
        <v>4</v>
      </c>
      <c r="P15" s="4">
        <v>4</v>
      </c>
    </row>
    <row r="16" spans="3:16" ht="92.5" customHeight="1" x14ac:dyDescent="1.65">
      <c r="C16" s="1" t="s">
        <v>89</v>
      </c>
      <c r="D16" s="1" t="s">
        <v>43</v>
      </c>
      <c r="E16" s="1" t="s">
        <v>35</v>
      </c>
      <c r="F16" s="4">
        <v>13</v>
      </c>
      <c r="G16" s="4">
        <v>20</v>
      </c>
      <c r="H16" s="11">
        <v>34</v>
      </c>
      <c r="I16" s="11">
        <v>13</v>
      </c>
      <c r="J16" s="4">
        <v>2</v>
      </c>
      <c r="K16" s="15">
        <v>0.44117647058823528</v>
      </c>
      <c r="L16" s="4">
        <v>10</v>
      </c>
      <c r="M16" s="4">
        <v>9</v>
      </c>
      <c r="N16" s="4">
        <v>19</v>
      </c>
      <c r="O16" s="4">
        <v>2</v>
      </c>
      <c r="P16" s="4">
        <v>30</v>
      </c>
    </row>
    <row r="17" spans="3:16" ht="92.5" customHeight="1" x14ac:dyDescent="1.65">
      <c r="C17" s="1" t="s">
        <v>90</v>
      </c>
      <c r="D17" s="1" t="s">
        <v>30</v>
      </c>
      <c r="E17" s="1" t="s">
        <v>27</v>
      </c>
      <c r="F17" s="4">
        <v>23</v>
      </c>
      <c r="G17" s="4">
        <v>20</v>
      </c>
      <c r="H17" s="11">
        <v>36</v>
      </c>
      <c r="I17" s="11">
        <v>6</v>
      </c>
      <c r="J17" s="4">
        <v>7</v>
      </c>
      <c r="K17" s="15">
        <v>0.3611111111111111</v>
      </c>
      <c r="L17" s="4">
        <v>20</v>
      </c>
      <c r="M17" s="4">
        <v>3</v>
      </c>
      <c r="N17" s="4">
        <v>23</v>
      </c>
      <c r="O17" s="4">
        <v>6</v>
      </c>
      <c r="P17" s="4">
        <v>39</v>
      </c>
    </row>
    <row r="18" spans="3:16" ht="92.5" customHeight="1" x14ac:dyDescent="1.65">
      <c r="C18" s="1" t="s">
        <v>91</v>
      </c>
      <c r="D18" s="1" t="s">
        <v>36</v>
      </c>
      <c r="E18" s="1" t="s">
        <v>12</v>
      </c>
      <c r="F18" s="4">
        <v>7</v>
      </c>
      <c r="G18" s="4">
        <v>1</v>
      </c>
      <c r="H18" s="11">
        <v>11</v>
      </c>
      <c r="I18" s="11">
        <v>4</v>
      </c>
      <c r="J18" s="4">
        <v>0</v>
      </c>
      <c r="K18" s="15">
        <v>0.36363636363636365</v>
      </c>
      <c r="L18" s="4">
        <v>7</v>
      </c>
      <c r="M18" s="4">
        <v>0</v>
      </c>
      <c r="N18" s="4">
        <v>7</v>
      </c>
      <c r="O18" s="4">
        <v>0</v>
      </c>
      <c r="P18" s="4">
        <v>3</v>
      </c>
    </row>
    <row r="19" spans="3:16" ht="92.5" customHeight="1" x14ac:dyDescent="1.65">
      <c r="C19" s="21" t="s">
        <v>29</v>
      </c>
      <c r="D19" s="21"/>
      <c r="E19" s="21"/>
      <c r="F19" s="5">
        <f>SUM(F4:F18)</f>
        <v>258</v>
      </c>
      <c r="G19" s="5">
        <f t="shared" ref="G19:J19" si="0">SUM(G4:G18)</f>
        <v>367</v>
      </c>
      <c r="H19" s="5">
        <f t="shared" si="0"/>
        <v>664</v>
      </c>
      <c r="I19" s="5">
        <f t="shared" si="0"/>
        <v>341</v>
      </c>
      <c r="J19" s="5">
        <f t="shared" si="0"/>
        <v>31</v>
      </c>
      <c r="K19" s="16">
        <v>0.56000000000000005</v>
      </c>
      <c r="L19" s="5">
        <f>SUM(L4:L18)</f>
        <v>236</v>
      </c>
      <c r="M19" s="5">
        <f t="shared" ref="M19" si="1">SUM(M4:M18)</f>
        <v>56</v>
      </c>
      <c r="N19" s="5">
        <f>SUM(N4:N18)</f>
        <v>292</v>
      </c>
      <c r="O19" s="5">
        <f t="shared" ref="O19:P19" si="2">SUM(O4:O18)</f>
        <v>130</v>
      </c>
      <c r="P19" s="5">
        <f t="shared" si="2"/>
        <v>647</v>
      </c>
    </row>
  </sheetData>
  <protectedRanges>
    <protectedRange sqref="I10 I12:I18" name="entry area_1_2"/>
  </protectedRanges>
  <mergeCells count="1">
    <mergeCell ref="C19:E19"/>
  </mergeCells>
  <dataValidations count="1">
    <dataValidation type="whole" allowBlank="1" showInputMessage="1" showErrorMessage="1" sqref="I12:I18 I10" xr:uid="{251FD2B6-67B6-4F57-8033-4C7401D4A3CA}">
      <formula1>0</formula1>
      <formula2>500000</formula2>
    </dataValidation>
  </dataValidations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92D2-69AA-4B9E-BEDC-EAFEDCCCDC2F}">
  <sheetPr>
    <pageSetUpPr fitToPage="1"/>
  </sheetPr>
  <dimension ref="C2:P19"/>
  <sheetViews>
    <sheetView rightToLeft="1" zoomScale="30" zoomScaleNormal="30" workbookViewId="0">
      <selection sqref="A1:XFD1048576"/>
    </sheetView>
  </sheetViews>
  <sheetFormatPr defaultColWidth="8.7265625" defaultRowHeight="92.5" customHeight="1" x14ac:dyDescent="1.65"/>
  <cols>
    <col min="1" max="1" width="8.7265625" style="8"/>
    <col min="2" max="2" width="8.7265625" style="8" customWidth="1"/>
    <col min="3" max="3" width="55.81640625" style="8" bestFit="1" customWidth="1"/>
    <col min="4" max="4" width="59.81640625" style="8" bestFit="1" customWidth="1"/>
    <col min="5" max="5" width="38.54296875" style="8" bestFit="1" customWidth="1"/>
    <col min="6" max="6" width="46.1796875" style="8" bestFit="1" customWidth="1"/>
    <col min="7" max="7" width="46.453125" style="8" bestFit="1" customWidth="1"/>
    <col min="8" max="8" width="61.90625" style="8" bestFit="1" customWidth="1"/>
    <col min="9" max="9" width="63.7265625" style="8" bestFit="1" customWidth="1"/>
    <col min="10" max="10" width="61.26953125" style="8" bestFit="1" customWidth="1"/>
    <col min="11" max="11" width="43.08984375" style="8" bestFit="1" customWidth="1"/>
    <col min="12" max="12" width="59.1796875" style="8" bestFit="1" customWidth="1"/>
    <col min="13" max="13" width="77.36328125" style="8" bestFit="1" customWidth="1"/>
    <col min="14" max="14" width="46.7265625" style="8" bestFit="1" customWidth="1"/>
    <col min="15" max="15" width="56.1796875" style="8" bestFit="1" customWidth="1"/>
    <col min="16" max="16" width="68.90625" style="8" bestFit="1" customWidth="1"/>
    <col min="17" max="16384" width="8.7265625" style="8"/>
  </cols>
  <sheetData>
    <row r="2" spans="3:16" ht="92.5" customHeight="1" x14ac:dyDescent="1.65">
      <c r="C2" s="17" t="s">
        <v>54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6"/>
    </row>
    <row r="3" spans="3:16" ht="92.5" customHeight="1" x14ac:dyDescent="1.65">
      <c r="C3" s="1" t="s">
        <v>0</v>
      </c>
      <c r="D3" s="3" t="s">
        <v>37</v>
      </c>
      <c r="E3" s="3" t="s">
        <v>38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46</v>
      </c>
      <c r="K3" s="3" t="s">
        <v>40</v>
      </c>
      <c r="L3" s="9" t="s">
        <v>6</v>
      </c>
      <c r="M3" s="9" t="s">
        <v>41</v>
      </c>
      <c r="N3" s="3" t="s">
        <v>42</v>
      </c>
      <c r="O3" s="3" t="s">
        <v>5</v>
      </c>
      <c r="P3" s="7" t="s">
        <v>44</v>
      </c>
    </row>
    <row r="4" spans="3:16" ht="92.5" customHeight="1" x14ac:dyDescent="1.65">
      <c r="C4" s="1" t="s">
        <v>77</v>
      </c>
      <c r="D4" s="1" t="s">
        <v>7</v>
      </c>
      <c r="E4" s="1" t="s">
        <v>8</v>
      </c>
      <c r="F4" s="4">
        <v>44</v>
      </c>
      <c r="G4" s="4">
        <v>13</v>
      </c>
      <c r="H4" s="4">
        <v>32</v>
      </c>
      <c r="I4" s="4">
        <v>17</v>
      </c>
      <c r="J4" s="4">
        <v>0</v>
      </c>
      <c r="K4" s="15">
        <v>0.53125</v>
      </c>
      <c r="L4" s="4">
        <v>12</v>
      </c>
      <c r="M4" s="4">
        <v>3</v>
      </c>
      <c r="N4" s="10">
        <v>15</v>
      </c>
      <c r="O4" s="4">
        <v>0</v>
      </c>
      <c r="P4" s="4">
        <v>0</v>
      </c>
    </row>
    <row r="5" spans="3:16" ht="92.5" customHeight="1" x14ac:dyDescent="1.65">
      <c r="C5" s="1" t="s">
        <v>78</v>
      </c>
      <c r="D5" s="1" t="s">
        <v>31</v>
      </c>
      <c r="E5" s="1" t="s">
        <v>26</v>
      </c>
      <c r="F5" s="4">
        <v>121</v>
      </c>
      <c r="G5" s="4">
        <v>89</v>
      </c>
      <c r="H5" s="4">
        <v>139</v>
      </c>
      <c r="I5" s="4">
        <v>87</v>
      </c>
      <c r="J5" s="4">
        <v>10</v>
      </c>
      <c r="K5" s="15">
        <v>0.69064748201438853</v>
      </c>
      <c r="L5" s="4">
        <v>40</v>
      </c>
      <c r="M5" s="4">
        <v>3</v>
      </c>
      <c r="N5" s="10">
        <v>43</v>
      </c>
      <c r="O5" s="4">
        <v>33</v>
      </c>
      <c r="P5" s="4">
        <v>169</v>
      </c>
    </row>
    <row r="6" spans="3:16" ht="92.5" customHeight="1" x14ac:dyDescent="1.65">
      <c r="C6" s="1" t="s">
        <v>79</v>
      </c>
      <c r="D6" s="1" t="s">
        <v>10</v>
      </c>
      <c r="E6" s="1" t="s">
        <v>11</v>
      </c>
      <c r="F6" s="4">
        <v>21</v>
      </c>
      <c r="G6" s="4">
        <v>22</v>
      </c>
      <c r="H6" s="4">
        <v>22</v>
      </c>
      <c r="I6" s="4">
        <v>21</v>
      </c>
      <c r="J6" s="4">
        <v>0</v>
      </c>
      <c r="K6" s="15">
        <v>0.95454545454545459</v>
      </c>
      <c r="L6" s="4">
        <v>1</v>
      </c>
      <c r="M6" s="4">
        <v>0</v>
      </c>
      <c r="N6" s="10">
        <v>1</v>
      </c>
      <c r="O6" s="4">
        <v>21</v>
      </c>
      <c r="P6" s="4">
        <v>26</v>
      </c>
    </row>
    <row r="7" spans="3:16" ht="92.5" customHeight="1" x14ac:dyDescent="1.65">
      <c r="C7" s="1" t="s">
        <v>80</v>
      </c>
      <c r="D7" s="1" t="s">
        <v>32</v>
      </c>
      <c r="E7" s="1" t="s">
        <v>9</v>
      </c>
      <c r="F7" s="4">
        <v>66</v>
      </c>
      <c r="G7" s="4">
        <v>54</v>
      </c>
      <c r="H7" s="4">
        <v>61</v>
      </c>
      <c r="I7" s="4">
        <v>42</v>
      </c>
      <c r="J7" s="4">
        <v>3</v>
      </c>
      <c r="K7" s="15">
        <v>0.73770491803278693</v>
      </c>
      <c r="L7" s="4">
        <v>16</v>
      </c>
      <c r="M7" s="4">
        <v>0</v>
      </c>
      <c r="N7" s="10">
        <v>16</v>
      </c>
      <c r="O7" s="4">
        <v>2</v>
      </c>
      <c r="P7" s="4">
        <v>40</v>
      </c>
    </row>
    <row r="8" spans="3:16" ht="92.5" customHeight="1" x14ac:dyDescent="1.65">
      <c r="C8" s="1" t="s">
        <v>81</v>
      </c>
      <c r="D8" s="1" t="s">
        <v>13</v>
      </c>
      <c r="E8" s="1" t="s">
        <v>14</v>
      </c>
      <c r="F8" s="4">
        <v>58</v>
      </c>
      <c r="G8" s="4">
        <v>54</v>
      </c>
      <c r="H8" s="4">
        <v>66</v>
      </c>
      <c r="I8" s="4">
        <v>36</v>
      </c>
      <c r="J8" s="4">
        <v>2</v>
      </c>
      <c r="K8" s="15">
        <v>0.5757575757575758</v>
      </c>
      <c r="L8" s="4">
        <v>19</v>
      </c>
      <c r="M8" s="4">
        <v>9</v>
      </c>
      <c r="N8" s="10">
        <v>28</v>
      </c>
      <c r="O8" s="4">
        <v>4</v>
      </c>
      <c r="P8" s="4">
        <v>63</v>
      </c>
    </row>
    <row r="9" spans="3:16" ht="92.5" customHeight="1" x14ac:dyDescent="1.65">
      <c r="C9" s="1" t="s">
        <v>82</v>
      </c>
      <c r="D9" s="1" t="s">
        <v>15</v>
      </c>
      <c r="E9" s="1" t="s">
        <v>33</v>
      </c>
      <c r="F9" s="4">
        <v>12</v>
      </c>
      <c r="G9" s="4">
        <v>23</v>
      </c>
      <c r="H9" s="4">
        <v>49</v>
      </c>
      <c r="I9" s="4">
        <v>37</v>
      </c>
      <c r="J9" s="4">
        <v>2</v>
      </c>
      <c r="K9" s="15">
        <v>0.79591836734693877</v>
      </c>
      <c r="L9" s="4">
        <v>6</v>
      </c>
      <c r="M9" s="4">
        <v>4</v>
      </c>
      <c r="N9" s="10">
        <v>10</v>
      </c>
      <c r="O9" s="4">
        <v>0</v>
      </c>
      <c r="P9" s="4">
        <v>41</v>
      </c>
    </row>
    <row r="10" spans="3:16" ht="92.5" customHeight="1" x14ac:dyDescent="1.65">
      <c r="C10" s="1" t="s">
        <v>83</v>
      </c>
      <c r="D10" s="1" t="s">
        <v>16</v>
      </c>
      <c r="E10" s="1" t="s">
        <v>17</v>
      </c>
      <c r="F10" s="4">
        <v>73</v>
      </c>
      <c r="G10" s="4">
        <v>90</v>
      </c>
      <c r="H10" s="4">
        <v>115</v>
      </c>
      <c r="I10" s="11">
        <v>77</v>
      </c>
      <c r="J10" s="4">
        <v>6</v>
      </c>
      <c r="K10" s="15">
        <v>0.72173913043478266</v>
      </c>
      <c r="L10" s="4">
        <v>29</v>
      </c>
      <c r="M10" s="4">
        <v>3</v>
      </c>
      <c r="N10" s="10">
        <v>32</v>
      </c>
      <c r="O10" s="4">
        <v>24</v>
      </c>
      <c r="P10" s="4">
        <v>120</v>
      </c>
    </row>
    <row r="11" spans="3:16" ht="92.5" customHeight="1" x14ac:dyDescent="1.65">
      <c r="C11" s="1" t="s">
        <v>84</v>
      </c>
      <c r="D11" s="1" t="s">
        <v>18</v>
      </c>
      <c r="E11" s="1" t="s">
        <v>28</v>
      </c>
      <c r="F11" s="10">
        <v>67</v>
      </c>
      <c r="G11" s="10">
        <v>43</v>
      </c>
      <c r="H11" s="11">
        <v>85</v>
      </c>
      <c r="I11" s="4">
        <v>41</v>
      </c>
      <c r="J11" s="4">
        <v>5</v>
      </c>
      <c r="K11" s="15">
        <v>0.54117647058823526</v>
      </c>
      <c r="L11" s="4">
        <v>24</v>
      </c>
      <c r="M11" s="4">
        <v>15</v>
      </c>
      <c r="N11" s="10">
        <v>39</v>
      </c>
      <c r="O11" s="4">
        <v>2</v>
      </c>
      <c r="P11" s="4">
        <v>59</v>
      </c>
    </row>
    <row r="12" spans="3:16" ht="92.5" customHeight="1" x14ac:dyDescent="1.65">
      <c r="C12" s="1" t="s">
        <v>85</v>
      </c>
      <c r="D12" s="1" t="s">
        <v>19</v>
      </c>
      <c r="E12" s="1" t="s">
        <v>20</v>
      </c>
      <c r="F12" s="4">
        <v>67</v>
      </c>
      <c r="G12" s="4">
        <v>49</v>
      </c>
      <c r="H12" s="11">
        <v>61</v>
      </c>
      <c r="I12" s="11">
        <v>30</v>
      </c>
      <c r="J12" s="4">
        <v>2</v>
      </c>
      <c r="K12" s="15">
        <v>0.52459016393442626</v>
      </c>
      <c r="L12" s="4">
        <v>14</v>
      </c>
      <c r="M12" s="4">
        <v>15</v>
      </c>
      <c r="N12" s="4">
        <v>29</v>
      </c>
      <c r="O12" s="4">
        <v>5</v>
      </c>
      <c r="P12" s="4">
        <v>48</v>
      </c>
    </row>
    <row r="13" spans="3:16" ht="92.5" customHeight="1" x14ac:dyDescent="1.65">
      <c r="C13" s="1" t="s">
        <v>86</v>
      </c>
      <c r="D13" s="1" t="s">
        <v>21</v>
      </c>
      <c r="E13" s="1" t="s">
        <v>34</v>
      </c>
      <c r="F13" s="4">
        <v>47</v>
      </c>
      <c r="G13" s="4">
        <v>56</v>
      </c>
      <c r="H13" s="11">
        <v>55</v>
      </c>
      <c r="I13" s="11">
        <v>47</v>
      </c>
      <c r="J13" s="4">
        <v>5</v>
      </c>
      <c r="K13" s="15">
        <v>0.94545454545454544</v>
      </c>
      <c r="L13" s="4">
        <v>3</v>
      </c>
      <c r="M13" s="4">
        <v>0</v>
      </c>
      <c r="N13" s="4">
        <v>3</v>
      </c>
      <c r="O13" s="4">
        <v>47</v>
      </c>
      <c r="P13" s="4">
        <v>44</v>
      </c>
    </row>
    <row r="14" spans="3:16" ht="92.5" customHeight="1" x14ac:dyDescent="1.65">
      <c r="C14" s="1" t="s">
        <v>87</v>
      </c>
      <c r="D14" s="1" t="s">
        <v>22</v>
      </c>
      <c r="E14" s="1" t="s">
        <v>23</v>
      </c>
      <c r="F14" s="4">
        <v>41</v>
      </c>
      <c r="G14" s="4">
        <v>53</v>
      </c>
      <c r="H14" s="11">
        <v>61</v>
      </c>
      <c r="I14" s="11">
        <v>60</v>
      </c>
      <c r="J14" s="4">
        <v>1</v>
      </c>
      <c r="K14" s="15">
        <v>1</v>
      </c>
      <c r="L14" s="4">
        <v>0</v>
      </c>
      <c r="M14" s="4">
        <v>0</v>
      </c>
      <c r="N14" s="4">
        <v>0</v>
      </c>
      <c r="O14" s="4">
        <v>60</v>
      </c>
      <c r="P14" s="14">
        <v>57</v>
      </c>
    </row>
    <row r="15" spans="3:16" ht="92.5" customHeight="1" x14ac:dyDescent="1.65">
      <c r="C15" s="1" t="s">
        <v>88</v>
      </c>
      <c r="D15" s="1" t="s">
        <v>24</v>
      </c>
      <c r="E15" s="1" t="s">
        <v>25</v>
      </c>
      <c r="F15" s="4">
        <v>23</v>
      </c>
      <c r="G15" s="4">
        <v>37</v>
      </c>
      <c r="H15" s="11">
        <v>35</v>
      </c>
      <c r="I15" s="11">
        <v>27</v>
      </c>
      <c r="J15" s="4">
        <v>0</v>
      </c>
      <c r="K15" s="15">
        <v>0.77142857142857146</v>
      </c>
      <c r="L15" s="4">
        <v>6</v>
      </c>
      <c r="M15" s="4">
        <v>2</v>
      </c>
      <c r="N15" s="4">
        <v>8</v>
      </c>
      <c r="O15" s="4">
        <v>12</v>
      </c>
      <c r="P15" s="4">
        <v>12</v>
      </c>
    </row>
    <row r="16" spans="3:16" ht="92.5" customHeight="1" x14ac:dyDescent="1.65">
      <c r="C16" s="1" t="s">
        <v>89</v>
      </c>
      <c r="D16" s="1" t="s">
        <v>43</v>
      </c>
      <c r="E16" s="1" t="s">
        <v>35</v>
      </c>
      <c r="F16" s="4">
        <v>52</v>
      </c>
      <c r="G16" s="4">
        <v>42</v>
      </c>
      <c r="H16" s="11">
        <v>62</v>
      </c>
      <c r="I16" s="11">
        <v>40</v>
      </c>
      <c r="J16" s="4">
        <v>3</v>
      </c>
      <c r="K16" s="15">
        <v>0.532258064516129</v>
      </c>
      <c r="L16" s="4">
        <v>18</v>
      </c>
      <c r="M16" s="4">
        <v>11</v>
      </c>
      <c r="N16" s="4">
        <v>29</v>
      </c>
      <c r="O16" s="4">
        <v>6</v>
      </c>
      <c r="P16" s="4">
        <v>53</v>
      </c>
    </row>
    <row r="17" spans="3:16" ht="92.5" customHeight="1" x14ac:dyDescent="1.65">
      <c r="C17" s="1" t="s">
        <v>90</v>
      </c>
      <c r="D17" s="1" t="s">
        <v>30</v>
      </c>
      <c r="E17" s="1" t="s">
        <v>27</v>
      </c>
      <c r="F17" s="4">
        <v>46</v>
      </c>
      <c r="G17" s="4">
        <v>42</v>
      </c>
      <c r="H17" s="11">
        <v>63</v>
      </c>
      <c r="I17" s="11">
        <v>46</v>
      </c>
      <c r="J17" s="4">
        <v>5</v>
      </c>
      <c r="K17" s="15">
        <v>0.80952380952380953</v>
      </c>
      <c r="L17" s="4">
        <v>11</v>
      </c>
      <c r="M17" s="4">
        <v>1</v>
      </c>
      <c r="N17" s="4">
        <v>12</v>
      </c>
      <c r="O17" s="4">
        <v>39</v>
      </c>
      <c r="P17" s="4">
        <v>58</v>
      </c>
    </row>
    <row r="18" spans="3:16" ht="92.5" customHeight="1" x14ac:dyDescent="1.65">
      <c r="C18" s="1" t="s">
        <v>91</v>
      </c>
      <c r="D18" s="1" t="s">
        <v>36</v>
      </c>
      <c r="E18" s="1" t="s">
        <v>12</v>
      </c>
      <c r="F18" s="4">
        <v>17</v>
      </c>
      <c r="G18" s="4">
        <v>6</v>
      </c>
      <c r="H18" s="11">
        <v>11</v>
      </c>
      <c r="I18" s="11">
        <v>4</v>
      </c>
      <c r="J18" s="4">
        <v>0</v>
      </c>
      <c r="K18" s="15">
        <v>0.36363636363636365</v>
      </c>
      <c r="L18" s="4">
        <v>5</v>
      </c>
      <c r="M18" s="4">
        <v>2</v>
      </c>
      <c r="N18" s="4">
        <v>7</v>
      </c>
      <c r="O18" s="4">
        <v>0</v>
      </c>
      <c r="P18" s="4">
        <v>0</v>
      </c>
    </row>
    <row r="19" spans="3:16" ht="92.5" customHeight="1" x14ac:dyDescent="1.65">
      <c r="C19" s="21" t="s">
        <v>29</v>
      </c>
      <c r="D19" s="21"/>
      <c r="E19" s="21"/>
      <c r="F19" s="5">
        <f>SUM(F4:F18)</f>
        <v>755</v>
      </c>
      <c r="G19" s="5">
        <f t="shared" ref="G19:J19" si="0">SUM(G4:G18)</f>
        <v>673</v>
      </c>
      <c r="H19" s="5">
        <f t="shared" si="0"/>
        <v>917</v>
      </c>
      <c r="I19" s="5">
        <f t="shared" si="0"/>
        <v>612</v>
      </c>
      <c r="J19" s="5">
        <f t="shared" si="0"/>
        <v>44</v>
      </c>
      <c r="K19" s="16">
        <v>0.7</v>
      </c>
      <c r="L19" s="5">
        <f>SUM(L4:L18)</f>
        <v>204</v>
      </c>
      <c r="M19" s="5">
        <f t="shared" ref="M19" si="1">SUM(M4:M18)</f>
        <v>68</v>
      </c>
      <c r="N19" s="5">
        <f>SUM(N4:N18)</f>
        <v>272</v>
      </c>
      <c r="O19" s="5">
        <f t="shared" ref="O19:P19" si="2">SUM(O4:O18)</f>
        <v>255</v>
      </c>
      <c r="P19" s="5">
        <f t="shared" si="2"/>
        <v>790</v>
      </c>
    </row>
  </sheetData>
  <protectedRanges>
    <protectedRange sqref="I10 I12:I18" name="entry area_1_2"/>
  </protectedRanges>
  <mergeCells count="1">
    <mergeCell ref="C19:E19"/>
  </mergeCells>
  <dataValidations count="1">
    <dataValidation type="whole" allowBlank="1" showInputMessage="1" showErrorMessage="1" sqref="I12:I18 I10" xr:uid="{70C3EE56-1CC2-43AA-8A23-C906E4EE6CDA}">
      <formula1>0</formula1>
      <formula2>500000</formula2>
    </dataValidation>
  </dataValidations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E47A3-00F3-41D4-A6C3-4C8E3FC9B4F1}">
  <sheetPr>
    <pageSetUpPr fitToPage="1"/>
  </sheetPr>
  <dimension ref="C2:P19"/>
  <sheetViews>
    <sheetView rightToLeft="1" zoomScale="30" zoomScaleNormal="30" workbookViewId="0">
      <selection activeCell="F4" sqref="F4:P18"/>
    </sheetView>
  </sheetViews>
  <sheetFormatPr defaultColWidth="8.7265625" defaultRowHeight="92.5" customHeight="1" x14ac:dyDescent="1.65"/>
  <cols>
    <col min="1" max="1" width="8.7265625" style="8"/>
    <col min="2" max="2" width="8.7265625" style="8" customWidth="1"/>
    <col min="3" max="3" width="55.81640625" style="8" bestFit="1" customWidth="1"/>
    <col min="4" max="4" width="59.81640625" style="8" bestFit="1" customWidth="1"/>
    <col min="5" max="5" width="38.54296875" style="8" bestFit="1" customWidth="1"/>
    <col min="6" max="6" width="46.1796875" style="8" bestFit="1" customWidth="1"/>
    <col min="7" max="7" width="46.453125" style="8" bestFit="1" customWidth="1"/>
    <col min="8" max="8" width="61.90625" style="8" bestFit="1" customWidth="1"/>
    <col min="9" max="9" width="63.7265625" style="8" bestFit="1" customWidth="1"/>
    <col min="10" max="10" width="61.26953125" style="8" bestFit="1" customWidth="1"/>
    <col min="11" max="11" width="43.08984375" style="8" bestFit="1" customWidth="1"/>
    <col min="12" max="12" width="59.1796875" style="8" bestFit="1" customWidth="1"/>
    <col min="13" max="13" width="77.36328125" style="8" bestFit="1" customWidth="1"/>
    <col min="14" max="14" width="46.7265625" style="8" bestFit="1" customWidth="1"/>
    <col min="15" max="15" width="56.1796875" style="8" bestFit="1" customWidth="1"/>
    <col min="16" max="16" width="68.90625" style="8" bestFit="1" customWidth="1"/>
    <col min="17" max="16384" width="8.7265625" style="8"/>
  </cols>
  <sheetData>
    <row r="2" spans="3:16" ht="92.5" customHeight="1" x14ac:dyDescent="1.65">
      <c r="C2" s="17" t="s">
        <v>100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6"/>
    </row>
    <row r="3" spans="3:16" ht="92.5" customHeight="1" x14ac:dyDescent="1.65">
      <c r="C3" s="1" t="s">
        <v>0</v>
      </c>
      <c r="D3" s="3" t="s">
        <v>37</v>
      </c>
      <c r="E3" s="3" t="s">
        <v>38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46</v>
      </c>
      <c r="K3" s="3" t="s">
        <v>40</v>
      </c>
      <c r="L3" s="9" t="s">
        <v>6</v>
      </c>
      <c r="M3" s="9" t="s">
        <v>41</v>
      </c>
      <c r="N3" s="3" t="s">
        <v>42</v>
      </c>
      <c r="O3" s="3" t="s">
        <v>5</v>
      </c>
      <c r="P3" s="7" t="s">
        <v>44</v>
      </c>
    </row>
    <row r="4" spans="3:16" ht="92.5" customHeight="1" x14ac:dyDescent="1.65">
      <c r="C4" s="1" t="s">
        <v>77</v>
      </c>
      <c r="D4" s="1" t="s">
        <v>7</v>
      </c>
      <c r="E4" s="1" t="s">
        <v>8</v>
      </c>
      <c r="F4" s="4"/>
      <c r="G4" s="4"/>
      <c r="H4" s="4"/>
      <c r="I4" s="4"/>
      <c r="J4" s="4"/>
      <c r="K4" s="15"/>
      <c r="L4" s="4"/>
      <c r="M4" s="4"/>
      <c r="N4" s="10"/>
      <c r="O4" s="4"/>
      <c r="P4" s="4"/>
    </row>
    <row r="5" spans="3:16" ht="92.5" customHeight="1" x14ac:dyDescent="1.65">
      <c r="C5" s="1" t="s">
        <v>78</v>
      </c>
      <c r="D5" s="1" t="s">
        <v>31</v>
      </c>
      <c r="E5" s="1" t="s">
        <v>26</v>
      </c>
      <c r="F5" s="4"/>
      <c r="G5" s="4"/>
      <c r="H5" s="4"/>
      <c r="I5" s="4"/>
      <c r="J5" s="4"/>
      <c r="K5" s="15"/>
      <c r="L5" s="4"/>
      <c r="M5" s="4"/>
      <c r="N5" s="10"/>
      <c r="O5" s="4"/>
      <c r="P5" s="4"/>
    </row>
    <row r="6" spans="3:16" ht="92.5" customHeight="1" x14ac:dyDescent="1.65">
      <c r="C6" s="1" t="s">
        <v>79</v>
      </c>
      <c r="D6" s="1" t="s">
        <v>10</v>
      </c>
      <c r="E6" s="1" t="s">
        <v>11</v>
      </c>
      <c r="F6" s="4"/>
      <c r="G6" s="4"/>
      <c r="H6" s="4"/>
      <c r="I6" s="4"/>
      <c r="J6" s="4"/>
      <c r="K6" s="15"/>
      <c r="L6" s="4"/>
      <c r="M6" s="4"/>
      <c r="N6" s="10"/>
      <c r="O6" s="4"/>
      <c r="P6" s="4"/>
    </row>
    <row r="7" spans="3:16" ht="92.5" customHeight="1" x14ac:dyDescent="1.65">
      <c r="C7" s="1" t="s">
        <v>80</v>
      </c>
      <c r="D7" s="1" t="s">
        <v>32</v>
      </c>
      <c r="E7" s="1" t="s">
        <v>9</v>
      </c>
      <c r="F7" s="4"/>
      <c r="G7" s="4"/>
      <c r="H7" s="4"/>
      <c r="I7" s="4"/>
      <c r="J7" s="4"/>
      <c r="K7" s="15"/>
      <c r="L7" s="4"/>
      <c r="M7" s="4"/>
      <c r="N7" s="10"/>
      <c r="O7" s="4"/>
      <c r="P7" s="4"/>
    </row>
    <row r="8" spans="3:16" ht="92.5" customHeight="1" x14ac:dyDescent="1.65">
      <c r="C8" s="1" t="s">
        <v>81</v>
      </c>
      <c r="D8" s="1" t="s">
        <v>13</v>
      </c>
      <c r="E8" s="1" t="s">
        <v>14</v>
      </c>
      <c r="F8" s="4"/>
      <c r="G8" s="4"/>
      <c r="H8" s="4"/>
      <c r="I8" s="4"/>
      <c r="J8" s="4"/>
      <c r="K8" s="15"/>
      <c r="L8" s="4"/>
      <c r="M8" s="4"/>
      <c r="N8" s="10"/>
      <c r="O8" s="4"/>
      <c r="P8" s="4"/>
    </row>
    <row r="9" spans="3:16" ht="92.5" customHeight="1" x14ac:dyDescent="1.65">
      <c r="C9" s="1" t="s">
        <v>82</v>
      </c>
      <c r="D9" s="1" t="s">
        <v>15</v>
      </c>
      <c r="E9" s="1" t="s">
        <v>33</v>
      </c>
      <c r="F9" s="4"/>
      <c r="G9" s="4"/>
      <c r="H9" s="4"/>
      <c r="I9" s="4"/>
      <c r="J9" s="4"/>
      <c r="K9" s="15"/>
      <c r="L9" s="4"/>
      <c r="M9" s="4"/>
      <c r="N9" s="10"/>
      <c r="O9" s="4"/>
      <c r="P9" s="4"/>
    </row>
    <row r="10" spans="3:16" ht="92.5" customHeight="1" x14ac:dyDescent="1.65">
      <c r="C10" s="1" t="s">
        <v>83</v>
      </c>
      <c r="D10" s="1" t="s">
        <v>16</v>
      </c>
      <c r="E10" s="1" t="s">
        <v>17</v>
      </c>
      <c r="F10" s="4"/>
      <c r="G10" s="4"/>
      <c r="H10" s="4"/>
      <c r="I10" s="11"/>
      <c r="J10" s="4"/>
      <c r="K10" s="15"/>
      <c r="L10" s="4"/>
      <c r="M10" s="4"/>
      <c r="N10" s="10"/>
      <c r="O10" s="4"/>
      <c r="P10" s="4"/>
    </row>
    <row r="11" spans="3:16" ht="92.5" customHeight="1" x14ac:dyDescent="1.65">
      <c r="C11" s="1" t="s">
        <v>84</v>
      </c>
      <c r="D11" s="1" t="s">
        <v>18</v>
      </c>
      <c r="E11" s="1" t="s">
        <v>28</v>
      </c>
      <c r="F11" s="10"/>
      <c r="G11" s="10"/>
      <c r="H11" s="11"/>
      <c r="I11" s="4"/>
      <c r="J11" s="4"/>
      <c r="K11" s="15"/>
      <c r="L11" s="4"/>
      <c r="M11" s="4"/>
      <c r="N11" s="10"/>
      <c r="O11" s="4"/>
      <c r="P11" s="4"/>
    </row>
    <row r="12" spans="3:16" ht="92.5" customHeight="1" x14ac:dyDescent="1.65">
      <c r="C12" s="1" t="s">
        <v>85</v>
      </c>
      <c r="D12" s="1" t="s">
        <v>19</v>
      </c>
      <c r="E12" s="1" t="s">
        <v>20</v>
      </c>
      <c r="F12" s="4"/>
      <c r="G12" s="4"/>
      <c r="H12" s="11"/>
      <c r="I12" s="11"/>
      <c r="J12" s="4"/>
      <c r="K12" s="15"/>
      <c r="L12" s="4"/>
      <c r="M12" s="4"/>
      <c r="N12" s="4"/>
      <c r="O12" s="4"/>
      <c r="P12" s="4"/>
    </row>
    <row r="13" spans="3:16" ht="92.5" customHeight="1" x14ac:dyDescent="1.65">
      <c r="C13" s="1" t="s">
        <v>86</v>
      </c>
      <c r="D13" s="1" t="s">
        <v>21</v>
      </c>
      <c r="E13" s="1" t="s">
        <v>34</v>
      </c>
      <c r="F13" s="4"/>
      <c r="G13" s="4"/>
      <c r="H13" s="11"/>
      <c r="I13" s="11"/>
      <c r="J13" s="4"/>
      <c r="K13" s="15"/>
      <c r="L13" s="4"/>
      <c r="M13" s="4"/>
      <c r="N13" s="4"/>
      <c r="O13" s="4"/>
      <c r="P13" s="4"/>
    </row>
    <row r="14" spans="3:16" ht="92.5" customHeight="1" x14ac:dyDescent="1.65">
      <c r="C14" s="1" t="s">
        <v>87</v>
      </c>
      <c r="D14" s="1" t="s">
        <v>22</v>
      </c>
      <c r="E14" s="1" t="s">
        <v>23</v>
      </c>
      <c r="F14" s="4"/>
      <c r="G14" s="4"/>
      <c r="H14" s="11"/>
      <c r="I14" s="11"/>
      <c r="J14" s="4"/>
      <c r="K14" s="15"/>
      <c r="L14" s="4"/>
      <c r="M14" s="4"/>
      <c r="N14" s="4"/>
      <c r="O14" s="4"/>
      <c r="P14" s="14"/>
    </row>
    <row r="15" spans="3:16" ht="92.5" customHeight="1" x14ac:dyDescent="1.65">
      <c r="C15" s="1" t="s">
        <v>88</v>
      </c>
      <c r="D15" s="1" t="s">
        <v>24</v>
      </c>
      <c r="E15" s="1" t="s">
        <v>25</v>
      </c>
      <c r="F15" s="4"/>
      <c r="G15" s="4"/>
      <c r="H15" s="11"/>
      <c r="I15" s="11"/>
      <c r="J15" s="4"/>
      <c r="K15" s="15"/>
      <c r="L15" s="4"/>
      <c r="M15" s="4"/>
      <c r="N15" s="4"/>
      <c r="O15" s="4"/>
      <c r="P15" s="4"/>
    </row>
    <row r="16" spans="3:16" ht="92.5" customHeight="1" x14ac:dyDescent="1.65">
      <c r="C16" s="1" t="s">
        <v>89</v>
      </c>
      <c r="D16" s="1" t="s">
        <v>43</v>
      </c>
      <c r="E16" s="1" t="s">
        <v>35</v>
      </c>
      <c r="F16" s="4"/>
      <c r="G16" s="4"/>
      <c r="H16" s="11"/>
      <c r="I16" s="11"/>
      <c r="J16" s="4"/>
      <c r="K16" s="15"/>
      <c r="L16" s="4"/>
      <c r="M16" s="4"/>
      <c r="N16" s="4"/>
      <c r="O16" s="4"/>
      <c r="P16" s="4"/>
    </row>
    <row r="17" spans="3:16" ht="92.5" customHeight="1" x14ac:dyDescent="1.65">
      <c r="C17" s="1" t="s">
        <v>90</v>
      </c>
      <c r="D17" s="1" t="s">
        <v>30</v>
      </c>
      <c r="E17" s="1" t="s">
        <v>27</v>
      </c>
      <c r="F17" s="4"/>
      <c r="G17" s="4"/>
      <c r="H17" s="11"/>
      <c r="I17" s="11"/>
      <c r="J17" s="4"/>
      <c r="K17" s="15"/>
      <c r="L17" s="4"/>
      <c r="M17" s="4"/>
      <c r="N17" s="4"/>
      <c r="O17" s="4"/>
      <c r="P17" s="4"/>
    </row>
    <row r="18" spans="3:16" ht="92.5" customHeight="1" x14ac:dyDescent="1.65">
      <c r="C18" s="1" t="s">
        <v>91</v>
      </c>
      <c r="D18" s="1" t="s">
        <v>36</v>
      </c>
      <c r="E18" s="1" t="s">
        <v>12</v>
      </c>
      <c r="F18" s="4"/>
      <c r="G18" s="4"/>
      <c r="H18" s="11"/>
      <c r="I18" s="11"/>
      <c r="J18" s="4"/>
      <c r="K18" s="15"/>
      <c r="L18" s="4"/>
      <c r="M18" s="4"/>
      <c r="N18" s="4"/>
      <c r="O18" s="4"/>
      <c r="P18" s="4"/>
    </row>
    <row r="19" spans="3:16" ht="92.5" customHeight="1" x14ac:dyDescent="1.65">
      <c r="C19" s="21" t="s">
        <v>29</v>
      </c>
      <c r="D19" s="21"/>
      <c r="E19" s="21"/>
      <c r="F19" s="5">
        <f>SUM(F4:F18)</f>
        <v>0</v>
      </c>
      <c r="G19" s="5">
        <f t="shared" ref="G19:J19" si="0">SUM(G4:G18)</f>
        <v>0</v>
      </c>
      <c r="H19" s="5">
        <f t="shared" si="0"/>
        <v>0</v>
      </c>
      <c r="I19" s="5">
        <f t="shared" si="0"/>
        <v>0</v>
      </c>
      <c r="J19" s="5">
        <f t="shared" si="0"/>
        <v>0</v>
      </c>
      <c r="K19" s="16">
        <v>0.7</v>
      </c>
      <c r="L19" s="5">
        <f>SUM(L4:L18)</f>
        <v>0</v>
      </c>
      <c r="M19" s="5">
        <f t="shared" ref="M19" si="1">SUM(M4:M18)</f>
        <v>0</v>
      </c>
      <c r="N19" s="5">
        <f>SUM(N4:N18)</f>
        <v>0</v>
      </c>
      <c r="O19" s="5">
        <f t="shared" ref="O19:P19" si="2">SUM(O4:O18)</f>
        <v>0</v>
      </c>
      <c r="P19" s="5">
        <f t="shared" si="2"/>
        <v>0</v>
      </c>
    </row>
  </sheetData>
  <protectedRanges>
    <protectedRange sqref="I10 I12:I18" name="entry area_1_2"/>
  </protectedRanges>
  <mergeCells count="1">
    <mergeCell ref="C19:E19"/>
  </mergeCells>
  <dataValidations count="1">
    <dataValidation type="whole" allowBlank="1" showInputMessage="1" showErrorMessage="1" sqref="I12:I18 I10" xr:uid="{336460A1-731C-41CA-A514-D97C309E38C6}">
      <formula1>0</formula1>
      <formula2>500000</formula2>
    </dataValidation>
  </dataValidations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AA51-16A1-4C5A-A315-827D3308A003}">
  <sheetPr>
    <pageSetUpPr fitToPage="1"/>
  </sheetPr>
  <dimension ref="C2:P19"/>
  <sheetViews>
    <sheetView rightToLeft="1" zoomScale="30" zoomScaleNormal="30" workbookViewId="0">
      <selection activeCell="F4" sqref="F4:P18"/>
    </sheetView>
  </sheetViews>
  <sheetFormatPr defaultColWidth="8.7265625" defaultRowHeight="92.5" customHeight="1" x14ac:dyDescent="1.65"/>
  <cols>
    <col min="1" max="1" width="8.7265625" style="8"/>
    <col min="2" max="2" width="8.7265625" style="8" customWidth="1"/>
    <col min="3" max="3" width="55.81640625" style="8" bestFit="1" customWidth="1"/>
    <col min="4" max="4" width="59.81640625" style="8" bestFit="1" customWidth="1"/>
    <col min="5" max="5" width="38.54296875" style="8" bestFit="1" customWidth="1"/>
    <col min="6" max="6" width="46.1796875" style="8" bestFit="1" customWidth="1"/>
    <col min="7" max="7" width="46.453125" style="8" bestFit="1" customWidth="1"/>
    <col min="8" max="8" width="61.90625" style="8" bestFit="1" customWidth="1"/>
    <col min="9" max="9" width="63.7265625" style="8" bestFit="1" customWidth="1"/>
    <col min="10" max="10" width="61.26953125" style="8" bestFit="1" customWidth="1"/>
    <col min="11" max="11" width="43.08984375" style="8" bestFit="1" customWidth="1"/>
    <col min="12" max="12" width="59.1796875" style="8" bestFit="1" customWidth="1"/>
    <col min="13" max="13" width="77.36328125" style="8" bestFit="1" customWidth="1"/>
    <col min="14" max="14" width="46.7265625" style="8" bestFit="1" customWidth="1"/>
    <col min="15" max="15" width="56.1796875" style="8" bestFit="1" customWidth="1"/>
    <col min="16" max="16" width="68.90625" style="8" bestFit="1" customWidth="1"/>
    <col min="17" max="16384" width="8.7265625" style="8"/>
  </cols>
  <sheetData>
    <row r="2" spans="3:16" ht="92.5" customHeight="1" x14ac:dyDescent="1.65">
      <c r="C2" s="17" t="s">
        <v>93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6"/>
    </row>
    <row r="3" spans="3:16" ht="92.5" customHeight="1" x14ac:dyDescent="1.65">
      <c r="C3" s="1" t="s">
        <v>0</v>
      </c>
      <c r="D3" s="3" t="s">
        <v>37</v>
      </c>
      <c r="E3" s="3" t="s">
        <v>38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46</v>
      </c>
      <c r="K3" s="3" t="s">
        <v>40</v>
      </c>
      <c r="L3" s="9" t="s">
        <v>6</v>
      </c>
      <c r="M3" s="9" t="s">
        <v>41</v>
      </c>
      <c r="N3" s="3" t="s">
        <v>42</v>
      </c>
      <c r="O3" s="3" t="s">
        <v>5</v>
      </c>
      <c r="P3" s="7" t="s">
        <v>44</v>
      </c>
    </row>
    <row r="4" spans="3:16" ht="92.5" customHeight="1" x14ac:dyDescent="1.65">
      <c r="C4" s="1" t="s">
        <v>77</v>
      </c>
      <c r="D4" s="1" t="s">
        <v>7</v>
      </c>
      <c r="E4" s="1" t="s">
        <v>8</v>
      </c>
      <c r="F4" s="4"/>
      <c r="G4" s="4"/>
      <c r="H4" s="4"/>
      <c r="I4" s="4"/>
      <c r="J4" s="4"/>
      <c r="K4" s="15"/>
      <c r="L4" s="4"/>
      <c r="M4" s="4"/>
      <c r="N4" s="10"/>
      <c r="O4" s="4"/>
      <c r="P4" s="4"/>
    </row>
    <row r="5" spans="3:16" ht="92.5" customHeight="1" x14ac:dyDescent="1.65">
      <c r="C5" s="1" t="s">
        <v>78</v>
      </c>
      <c r="D5" s="1" t="s">
        <v>31</v>
      </c>
      <c r="E5" s="1" t="s">
        <v>26</v>
      </c>
      <c r="F5" s="4"/>
      <c r="G5" s="4"/>
      <c r="H5" s="4"/>
      <c r="I5" s="4"/>
      <c r="J5" s="4"/>
      <c r="K5" s="15"/>
      <c r="L5" s="4"/>
      <c r="M5" s="4"/>
      <c r="N5" s="10"/>
      <c r="O5" s="4"/>
      <c r="P5" s="4"/>
    </row>
    <row r="6" spans="3:16" ht="92.5" customHeight="1" x14ac:dyDescent="1.65">
      <c r="C6" s="1" t="s">
        <v>79</v>
      </c>
      <c r="D6" s="1" t="s">
        <v>10</v>
      </c>
      <c r="E6" s="1" t="s">
        <v>11</v>
      </c>
      <c r="F6" s="4"/>
      <c r="G6" s="4"/>
      <c r="H6" s="4"/>
      <c r="I6" s="4"/>
      <c r="J6" s="4"/>
      <c r="K6" s="15"/>
      <c r="L6" s="4"/>
      <c r="M6" s="4"/>
      <c r="N6" s="10"/>
      <c r="O6" s="4"/>
      <c r="P6" s="4"/>
    </row>
    <row r="7" spans="3:16" ht="92.5" customHeight="1" x14ac:dyDescent="1.65">
      <c r="C7" s="1" t="s">
        <v>80</v>
      </c>
      <c r="D7" s="1" t="s">
        <v>32</v>
      </c>
      <c r="E7" s="1" t="s">
        <v>9</v>
      </c>
      <c r="F7" s="4"/>
      <c r="G7" s="4"/>
      <c r="H7" s="4"/>
      <c r="I7" s="4"/>
      <c r="J7" s="4"/>
      <c r="K7" s="15"/>
      <c r="L7" s="4"/>
      <c r="M7" s="4"/>
      <c r="N7" s="10"/>
      <c r="O7" s="4"/>
      <c r="P7" s="4"/>
    </row>
    <row r="8" spans="3:16" ht="92.5" customHeight="1" x14ac:dyDescent="1.65">
      <c r="C8" s="1" t="s">
        <v>81</v>
      </c>
      <c r="D8" s="1" t="s">
        <v>13</v>
      </c>
      <c r="E8" s="1" t="s">
        <v>14</v>
      </c>
      <c r="F8" s="4"/>
      <c r="G8" s="4"/>
      <c r="H8" s="4"/>
      <c r="I8" s="4"/>
      <c r="J8" s="4"/>
      <c r="K8" s="15"/>
      <c r="L8" s="4"/>
      <c r="M8" s="4"/>
      <c r="N8" s="10"/>
      <c r="O8" s="4"/>
      <c r="P8" s="4"/>
    </row>
    <row r="9" spans="3:16" ht="92.5" customHeight="1" x14ac:dyDescent="1.65">
      <c r="C9" s="1" t="s">
        <v>82</v>
      </c>
      <c r="D9" s="1" t="s">
        <v>15</v>
      </c>
      <c r="E9" s="1" t="s">
        <v>33</v>
      </c>
      <c r="F9" s="4"/>
      <c r="G9" s="4"/>
      <c r="H9" s="4"/>
      <c r="I9" s="4"/>
      <c r="J9" s="4"/>
      <c r="K9" s="15"/>
      <c r="L9" s="4"/>
      <c r="M9" s="4"/>
      <c r="N9" s="10"/>
      <c r="O9" s="4"/>
      <c r="P9" s="4"/>
    </row>
    <row r="10" spans="3:16" ht="92.5" customHeight="1" x14ac:dyDescent="1.65">
      <c r="C10" s="1" t="s">
        <v>83</v>
      </c>
      <c r="D10" s="1" t="s">
        <v>16</v>
      </c>
      <c r="E10" s="1" t="s">
        <v>17</v>
      </c>
      <c r="F10" s="4"/>
      <c r="G10" s="4"/>
      <c r="H10" s="4"/>
      <c r="I10" s="11"/>
      <c r="J10" s="4"/>
      <c r="K10" s="15"/>
      <c r="L10" s="4"/>
      <c r="M10" s="4"/>
      <c r="N10" s="10"/>
      <c r="O10" s="4"/>
      <c r="P10" s="4"/>
    </row>
    <row r="11" spans="3:16" ht="92.5" customHeight="1" x14ac:dyDescent="1.65">
      <c r="C11" s="1" t="s">
        <v>84</v>
      </c>
      <c r="D11" s="1" t="s">
        <v>18</v>
      </c>
      <c r="E11" s="1" t="s">
        <v>28</v>
      </c>
      <c r="F11" s="10"/>
      <c r="G11" s="10"/>
      <c r="H11" s="11"/>
      <c r="I11" s="4"/>
      <c r="J11" s="4"/>
      <c r="K11" s="15"/>
      <c r="L11" s="4"/>
      <c r="M11" s="4"/>
      <c r="N11" s="10"/>
      <c r="O11" s="4"/>
      <c r="P11" s="4"/>
    </row>
    <row r="12" spans="3:16" ht="92.5" customHeight="1" x14ac:dyDescent="1.65">
      <c r="C12" s="1" t="s">
        <v>85</v>
      </c>
      <c r="D12" s="1" t="s">
        <v>19</v>
      </c>
      <c r="E12" s="1" t="s">
        <v>20</v>
      </c>
      <c r="F12" s="4"/>
      <c r="G12" s="4"/>
      <c r="H12" s="11"/>
      <c r="I12" s="11"/>
      <c r="J12" s="4"/>
      <c r="K12" s="15"/>
      <c r="L12" s="4"/>
      <c r="M12" s="4"/>
      <c r="N12" s="4"/>
      <c r="O12" s="4"/>
      <c r="P12" s="4"/>
    </row>
    <row r="13" spans="3:16" ht="92.5" customHeight="1" x14ac:dyDescent="1.65">
      <c r="C13" s="1" t="s">
        <v>86</v>
      </c>
      <c r="D13" s="1" t="s">
        <v>21</v>
      </c>
      <c r="E13" s="1" t="s">
        <v>34</v>
      </c>
      <c r="F13" s="4"/>
      <c r="G13" s="4"/>
      <c r="H13" s="11"/>
      <c r="I13" s="11"/>
      <c r="J13" s="4"/>
      <c r="K13" s="15"/>
      <c r="L13" s="4"/>
      <c r="M13" s="4"/>
      <c r="N13" s="4"/>
      <c r="O13" s="4"/>
      <c r="P13" s="4"/>
    </row>
    <row r="14" spans="3:16" ht="92.5" customHeight="1" x14ac:dyDescent="1.65">
      <c r="C14" s="1" t="s">
        <v>87</v>
      </c>
      <c r="D14" s="1" t="s">
        <v>22</v>
      </c>
      <c r="E14" s="1" t="s">
        <v>23</v>
      </c>
      <c r="F14" s="4"/>
      <c r="G14" s="4"/>
      <c r="H14" s="11"/>
      <c r="I14" s="11"/>
      <c r="J14" s="4"/>
      <c r="K14" s="15"/>
      <c r="L14" s="4"/>
      <c r="M14" s="4"/>
      <c r="N14" s="4"/>
      <c r="O14" s="4"/>
      <c r="P14" s="14"/>
    </row>
    <row r="15" spans="3:16" ht="92.5" customHeight="1" x14ac:dyDescent="1.65">
      <c r="C15" s="1" t="s">
        <v>88</v>
      </c>
      <c r="D15" s="1" t="s">
        <v>24</v>
      </c>
      <c r="E15" s="1" t="s">
        <v>25</v>
      </c>
      <c r="F15" s="4"/>
      <c r="G15" s="4"/>
      <c r="H15" s="11"/>
      <c r="I15" s="11"/>
      <c r="J15" s="4"/>
      <c r="K15" s="15"/>
      <c r="L15" s="4"/>
      <c r="M15" s="4"/>
      <c r="N15" s="4"/>
      <c r="O15" s="4"/>
      <c r="P15" s="4"/>
    </row>
    <row r="16" spans="3:16" ht="92.5" customHeight="1" x14ac:dyDescent="1.65">
      <c r="C16" s="1" t="s">
        <v>89</v>
      </c>
      <c r="D16" s="1" t="s">
        <v>43</v>
      </c>
      <c r="E16" s="1" t="s">
        <v>35</v>
      </c>
      <c r="F16" s="4"/>
      <c r="G16" s="4"/>
      <c r="H16" s="11"/>
      <c r="I16" s="11"/>
      <c r="J16" s="4"/>
      <c r="K16" s="15"/>
      <c r="L16" s="4"/>
      <c r="M16" s="4"/>
      <c r="N16" s="4"/>
      <c r="O16" s="4"/>
      <c r="P16" s="4"/>
    </row>
    <row r="17" spans="3:16" ht="92.5" customHeight="1" x14ac:dyDescent="1.65">
      <c r="C17" s="1" t="s">
        <v>90</v>
      </c>
      <c r="D17" s="1" t="s">
        <v>30</v>
      </c>
      <c r="E17" s="1" t="s">
        <v>27</v>
      </c>
      <c r="F17" s="4"/>
      <c r="G17" s="4"/>
      <c r="H17" s="11"/>
      <c r="I17" s="11"/>
      <c r="J17" s="4"/>
      <c r="K17" s="15"/>
      <c r="L17" s="4"/>
      <c r="M17" s="4"/>
      <c r="N17" s="4"/>
      <c r="O17" s="4"/>
      <c r="P17" s="4"/>
    </row>
    <row r="18" spans="3:16" ht="92.5" customHeight="1" x14ac:dyDescent="1.65">
      <c r="C18" s="1" t="s">
        <v>91</v>
      </c>
      <c r="D18" s="1" t="s">
        <v>36</v>
      </c>
      <c r="E18" s="1" t="s">
        <v>12</v>
      </c>
      <c r="F18" s="4"/>
      <c r="G18" s="4"/>
      <c r="H18" s="11"/>
      <c r="I18" s="11"/>
      <c r="J18" s="4"/>
      <c r="K18" s="15"/>
      <c r="L18" s="4"/>
      <c r="M18" s="4"/>
      <c r="N18" s="4"/>
      <c r="O18" s="4"/>
      <c r="P18" s="4"/>
    </row>
    <row r="19" spans="3:16" ht="92.5" customHeight="1" x14ac:dyDescent="1.65">
      <c r="C19" s="21" t="s">
        <v>29</v>
      </c>
      <c r="D19" s="21"/>
      <c r="E19" s="21"/>
      <c r="F19" s="5">
        <f>SUM(F4:F18)</f>
        <v>0</v>
      </c>
      <c r="G19" s="5">
        <f t="shared" ref="G19:J19" si="0">SUM(G4:G18)</f>
        <v>0</v>
      </c>
      <c r="H19" s="5">
        <f t="shared" si="0"/>
        <v>0</v>
      </c>
      <c r="I19" s="5">
        <f t="shared" si="0"/>
        <v>0</v>
      </c>
      <c r="J19" s="5">
        <f t="shared" si="0"/>
        <v>0</v>
      </c>
      <c r="K19" s="16">
        <v>0.7</v>
      </c>
      <c r="L19" s="5">
        <f>SUM(L4:L18)</f>
        <v>0</v>
      </c>
      <c r="M19" s="5">
        <f t="shared" ref="M19" si="1">SUM(M4:M18)</f>
        <v>0</v>
      </c>
      <c r="N19" s="5">
        <f>SUM(N4:N18)</f>
        <v>0</v>
      </c>
      <c r="O19" s="5">
        <f t="shared" ref="O19:P19" si="2">SUM(O4:O18)</f>
        <v>0</v>
      </c>
      <c r="P19" s="5">
        <f t="shared" si="2"/>
        <v>0</v>
      </c>
    </row>
  </sheetData>
  <protectedRanges>
    <protectedRange sqref="I10 I12:I18" name="entry area_1_2"/>
  </protectedRanges>
  <mergeCells count="1">
    <mergeCell ref="C19:E19"/>
  </mergeCells>
  <dataValidations count="1">
    <dataValidation type="whole" allowBlank="1" showInputMessage="1" showErrorMessage="1" sqref="I12:I18 I10" xr:uid="{731FD584-FD4C-4064-9897-414BC34170A9}">
      <formula1>0</formula1>
      <formula2>500000</formula2>
    </dataValidation>
  </dataValidations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FF19-9A42-419B-A20C-4D91C109617D}">
  <sheetPr>
    <pageSetUpPr fitToPage="1"/>
  </sheetPr>
  <dimension ref="C2:P19"/>
  <sheetViews>
    <sheetView rightToLeft="1" zoomScale="30" zoomScaleNormal="30" workbookViewId="0">
      <selection activeCell="F4" sqref="F4:P18"/>
    </sheetView>
  </sheetViews>
  <sheetFormatPr defaultColWidth="8.7265625" defaultRowHeight="92.5" customHeight="1" x14ac:dyDescent="1.65"/>
  <cols>
    <col min="1" max="1" width="8.7265625" style="8"/>
    <col min="2" max="2" width="8.7265625" style="8" customWidth="1"/>
    <col min="3" max="3" width="55.81640625" style="8" bestFit="1" customWidth="1"/>
    <col min="4" max="4" width="59.81640625" style="8" bestFit="1" customWidth="1"/>
    <col min="5" max="5" width="38.54296875" style="8" bestFit="1" customWidth="1"/>
    <col min="6" max="6" width="46.1796875" style="8" bestFit="1" customWidth="1"/>
    <col min="7" max="7" width="46.453125" style="8" bestFit="1" customWidth="1"/>
    <col min="8" max="8" width="61.90625" style="8" bestFit="1" customWidth="1"/>
    <col min="9" max="9" width="63.7265625" style="8" bestFit="1" customWidth="1"/>
    <col min="10" max="10" width="61.26953125" style="8" bestFit="1" customWidth="1"/>
    <col min="11" max="11" width="43.08984375" style="8" bestFit="1" customWidth="1"/>
    <col min="12" max="12" width="59.1796875" style="8" bestFit="1" customWidth="1"/>
    <col min="13" max="13" width="77.36328125" style="8" bestFit="1" customWidth="1"/>
    <col min="14" max="14" width="46.7265625" style="8" bestFit="1" customWidth="1"/>
    <col min="15" max="15" width="56.1796875" style="8" bestFit="1" customWidth="1"/>
    <col min="16" max="16" width="68.90625" style="8" bestFit="1" customWidth="1"/>
    <col min="17" max="16384" width="8.7265625" style="8"/>
  </cols>
  <sheetData>
    <row r="2" spans="3:16" ht="92.5" customHeight="1" x14ac:dyDescent="1.65">
      <c r="C2" s="17" t="s">
        <v>99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6"/>
    </row>
    <row r="3" spans="3:16" ht="92.5" customHeight="1" x14ac:dyDescent="1.65">
      <c r="C3" s="1" t="s">
        <v>0</v>
      </c>
      <c r="D3" s="3" t="s">
        <v>37</v>
      </c>
      <c r="E3" s="3" t="s">
        <v>38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46</v>
      </c>
      <c r="K3" s="3" t="s">
        <v>40</v>
      </c>
      <c r="L3" s="9" t="s">
        <v>6</v>
      </c>
      <c r="M3" s="9" t="s">
        <v>41</v>
      </c>
      <c r="N3" s="3" t="s">
        <v>42</v>
      </c>
      <c r="O3" s="3" t="s">
        <v>5</v>
      </c>
      <c r="P3" s="7" t="s">
        <v>44</v>
      </c>
    </row>
    <row r="4" spans="3:16" ht="92.5" customHeight="1" x14ac:dyDescent="1.65">
      <c r="C4" s="1" t="s">
        <v>77</v>
      </c>
      <c r="D4" s="1" t="s">
        <v>7</v>
      </c>
      <c r="E4" s="1" t="s">
        <v>8</v>
      </c>
      <c r="F4" s="4"/>
      <c r="G4" s="4"/>
      <c r="H4" s="4"/>
      <c r="I4" s="4"/>
      <c r="J4" s="4"/>
      <c r="K4" s="15"/>
      <c r="L4" s="4"/>
      <c r="M4" s="4"/>
      <c r="N4" s="10"/>
      <c r="O4" s="4"/>
      <c r="P4" s="4"/>
    </row>
    <row r="5" spans="3:16" ht="92.5" customHeight="1" x14ac:dyDescent="1.65">
      <c r="C5" s="1" t="s">
        <v>78</v>
      </c>
      <c r="D5" s="1" t="s">
        <v>31</v>
      </c>
      <c r="E5" s="1" t="s">
        <v>26</v>
      </c>
      <c r="F5" s="4"/>
      <c r="G5" s="4"/>
      <c r="H5" s="4"/>
      <c r="I5" s="4"/>
      <c r="J5" s="4"/>
      <c r="K5" s="15"/>
      <c r="L5" s="4"/>
      <c r="M5" s="4"/>
      <c r="N5" s="10"/>
      <c r="O5" s="4"/>
      <c r="P5" s="4"/>
    </row>
    <row r="6" spans="3:16" ht="92.5" customHeight="1" x14ac:dyDescent="1.65">
      <c r="C6" s="1" t="s">
        <v>79</v>
      </c>
      <c r="D6" s="1" t="s">
        <v>10</v>
      </c>
      <c r="E6" s="1" t="s">
        <v>11</v>
      </c>
      <c r="F6" s="4"/>
      <c r="G6" s="4"/>
      <c r="H6" s="4"/>
      <c r="I6" s="4"/>
      <c r="J6" s="4"/>
      <c r="K6" s="15"/>
      <c r="L6" s="4"/>
      <c r="M6" s="4"/>
      <c r="N6" s="10"/>
      <c r="O6" s="4"/>
      <c r="P6" s="4"/>
    </row>
    <row r="7" spans="3:16" ht="92.5" customHeight="1" x14ac:dyDescent="1.65">
      <c r="C7" s="1" t="s">
        <v>80</v>
      </c>
      <c r="D7" s="1" t="s">
        <v>32</v>
      </c>
      <c r="E7" s="1" t="s">
        <v>9</v>
      </c>
      <c r="F7" s="4"/>
      <c r="G7" s="4"/>
      <c r="H7" s="4"/>
      <c r="I7" s="4"/>
      <c r="J7" s="4"/>
      <c r="K7" s="15"/>
      <c r="L7" s="4"/>
      <c r="M7" s="4"/>
      <c r="N7" s="10"/>
      <c r="O7" s="4"/>
      <c r="P7" s="4"/>
    </row>
    <row r="8" spans="3:16" ht="92.5" customHeight="1" x14ac:dyDescent="1.65">
      <c r="C8" s="1" t="s">
        <v>81</v>
      </c>
      <c r="D8" s="1" t="s">
        <v>13</v>
      </c>
      <c r="E8" s="1" t="s">
        <v>14</v>
      </c>
      <c r="F8" s="4"/>
      <c r="G8" s="4"/>
      <c r="H8" s="4"/>
      <c r="I8" s="4"/>
      <c r="J8" s="4"/>
      <c r="K8" s="15"/>
      <c r="L8" s="4"/>
      <c r="M8" s="4"/>
      <c r="N8" s="10"/>
      <c r="O8" s="4"/>
      <c r="P8" s="4"/>
    </row>
    <row r="9" spans="3:16" ht="92.5" customHeight="1" x14ac:dyDescent="1.65">
      <c r="C9" s="1" t="s">
        <v>82</v>
      </c>
      <c r="D9" s="1" t="s">
        <v>15</v>
      </c>
      <c r="E9" s="1" t="s">
        <v>33</v>
      </c>
      <c r="F9" s="4"/>
      <c r="G9" s="4"/>
      <c r="H9" s="4"/>
      <c r="I9" s="4"/>
      <c r="J9" s="4"/>
      <c r="K9" s="15"/>
      <c r="L9" s="4"/>
      <c r="M9" s="4"/>
      <c r="N9" s="10"/>
      <c r="O9" s="4"/>
      <c r="P9" s="4"/>
    </row>
    <row r="10" spans="3:16" ht="92.5" customHeight="1" x14ac:dyDescent="1.65">
      <c r="C10" s="1" t="s">
        <v>83</v>
      </c>
      <c r="D10" s="1" t="s">
        <v>16</v>
      </c>
      <c r="E10" s="1" t="s">
        <v>17</v>
      </c>
      <c r="F10" s="4"/>
      <c r="G10" s="4"/>
      <c r="H10" s="4"/>
      <c r="I10" s="11"/>
      <c r="J10" s="4"/>
      <c r="K10" s="15"/>
      <c r="L10" s="4"/>
      <c r="M10" s="4"/>
      <c r="N10" s="10"/>
      <c r="O10" s="4"/>
      <c r="P10" s="4"/>
    </row>
    <row r="11" spans="3:16" ht="92.5" customHeight="1" x14ac:dyDescent="1.65">
      <c r="C11" s="1" t="s">
        <v>84</v>
      </c>
      <c r="D11" s="1" t="s">
        <v>18</v>
      </c>
      <c r="E11" s="1" t="s">
        <v>28</v>
      </c>
      <c r="F11" s="10"/>
      <c r="G11" s="10"/>
      <c r="H11" s="11"/>
      <c r="I11" s="4"/>
      <c r="J11" s="4"/>
      <c r="K11" s="15"/>
      <c r="L11" s="4"/>
      <c r="M11" s="4"/>
      <c r="N11" s="10"/>
      <c r="O11" s="4"/>
      <c r="P11" s="4"/>
    </row>
    <row r="12" spans="3:16" ht="92.5" customHeight="1" x14ac:dyDescent="1.65">
      <c r="C12" s="1" t="s">
        <v>85</v>
      </c>
      <c r="D12" s="1" t="s">
        <v>19</v>
      </c>
      <c r="E12" s="1" t="s">
        <v>20</v>
      </c>
      <c r="F12" s="4"/>
      <c r="G12" s="4"/>
      <c r="H12" s="11"/>
      <c r="I12" s="11"/>
      <c r="J12" s="4"/>
      <c r="K12" s="15"/>
      <c r="L12" s="4"/>
      <c r="M12" s="4"/>
      <c r="N12" s="4"/>
      <c r="O12" s="4"/>
      <c r="P12" s="4"/>
    </row>
    <row r="13" spans="3:16" ht="92.5" customHeight="1" x14ac:dyDescent="1.65">
      <c r="C13" s="1" t="s">
        <v>86</v>
      </c>
      <c r="D13" s="1" t="s">
        <v>21</v>
      </c>
      <c r="E13" s="1" t="s">
        <v>34</v>
      </c>
      <c r="F13" s="4"/>
      <c r="G13" s="4"/>
      <c r="H13" s="11"/>
      <c r="I13" s="11"/>
      <c r="J13" s="4"/>
      <c r="K13" s="15"/>
      <c r="L13" s="4"/>
      <c r="M13" s="4"/>
      <c r="N13" s="4"/>
      <c r="O13" s="4"/>
      <c r="P13" s="4"/>
    </row>
    <row r="14" spans="3:16" ht="92.5" customHeight="1" x14ac:dyDescent="1.65">
      <c r="C14" s="1" t="s">
        <v>87</v>
      </c>
      <c r="D14" s="1" t="s">
        <v>22</v>
      </c>
      <c r="E14" s="1" t="s">
        <v>23</v>
      </c>
      <c r="F14" s="4"/>
      <c r="G14" s="4"/>
      <c r="H14" s="11"/>
      <c r="I14" s="11"/>
      <c r="J14" s="4"/>
      <c r="K14" s="15"/>
      <c r="L14" s="4"/>
      <c r="M14" s="4"/>
      <c r="N14" s="4"/>
      <c r="O14" s="4"/>
      <c r="P14" s="14"/>
    </row>
    <row r="15" spans="3:16" ht="92.5" customHeight="1" x14ac:dyDescent="1.65">
      <c r="C15" s="1" t="s">
        <v>88</v>
      </c>
      <c r="D15" s="1" t="s">
        <v>24</v>
      </c>
      <c r="E15" s="1" t="s">
        <v>25</v>
      </c>
      <c r="F15" s="4"/>
      <c r="G15" s="4"/>
      <c r="H15" s="11"/>
      <c r="I15" s="11"/>
      <c r="J15" s="4"/>
      <c r="K15" s="15"/>
      <c r="L15" s="4"/>
      <c r="M15" s="4"/>
      <c r="N15" s="4"/>
      <c r="O15" s="4"/>
      <c r="P15" s="4"/>
    </row>
    <row r="16" spans="3:16" ht="92.5" customHeight="1" x14ac:dyDescent="1.65">
      <c r="C16" s="1" t="s">
        <v>89</v>
      </c>
      <c r="D16" s="1" t="s">
        <v>43</v>
      </c>
      <c r="E16" s="1" t="s">
        <v>35</v>
      </c>
      <c r="F16" s="4"/>
      <c r="G16" s="4"/>
      <c r="H16" s="11"/>
      <c r="I16" s="11"/>
      <c r="J16" s="4"/>
      <c r="K16" s="15"/>
      <c r="L16" s="4"/>
      <c r="M16" s="4"/>
      <c r="N16" s="4"/>
      <c r="O16" s="4"/>
      <c r="P16" s="4"/>
    </row>
    <row r="17" spans="3:16" ht="92.5" customHeight="1" x14ac:dyDescent="1.65">
      <c r="C17" s="1" t="s">
        <v>90</v>
      </c>
      <c r="D17" s="1" t="s">
        <v>30</v>
      </c>
      <c r="E17" s="1" t="s">
        <v>27</v>
      </c>
      <c r="F17" s="4"/>
      <c r="G17" s="4"/>
      <c r="H17" s="11"/>
      <c r="I17" s="11"/>
      <c r="J17" s="4"/>
      <c r="K17" s="15"/>
      <c r="L17" s="4"/>
      <c r="M17" s="4"/>
      <c r="N17" s="4"/>
      <c r="O17" s="4"/>
      <c r="P17" s="4"/>
    </row>
    <row r="18" spans="3:16" ht="92.5" customHeight="1" x14ac:dyDescent="1.65">
      <c r="C18" s="1" t="s">
        <v>91</v>
      </c>
      <c r="D18" s="1" t="s">
        <v>36</v>
      </c>
      <c r="E18" s="1" t="s">
        <v>12</v>
      </c>
      <c r="F18" s="4"/>
      <c r="G18" s="4"/>
      <c r="H18" s="11"/>
      <c r="I18" s="11"/>
      <c r="J18" s="4"/>
      <c r="K18" s="15"/>
      <c r="L18" s="4"/>
      <c r="M18" s="4"/>
      <c r="N18" s="4"/>
      <c r="O18" s="4"/>
      <c r="P18" s="4"/>
    </row>
    <row r="19" spans="3:16" ht="92.5" customHeight="1" x14ac:dyDescent="1.65">
      <c r="C19" s="21" t="s">
        <v>29</v>
      </c>
      <c r="D19" s="21"/>
      <c r="E19" s="21"/>
      <c r="F19" s="5">
        <f>SUM(F4:F18)</f>
        <v>0</v>
      </c>
      <c r="G19" s="5">
        <f t="shared" ref="G19:J19" si="0">SUM(G4:G18)</f>
        <v>0</v>
      </c>
      <c r="H19" s="5">
        <f t="shared" si="0"/>
        <v>0</v>
      </c>
      <c r="I19" s="5">
        <f t="shared" si="0"/>
        <v>0</v>
      </c>
      <c r="J19" s="5">
        <f t="shared" si="0"/>
        <v>0</v>
      </c>
      <c r="K19" s="16">
        <v>0.7</v>
      </c>
      <c r="L19" s="5">
        <f>SUM(L4:L18)</f>
        <v>0</v>
      </c>
      <c r="M19" s="5">
        <f t="shared" ref="M19" si="1">SUM(M4:M18)</f>
        <v>0</v>
      </c>
      <c r="N19" s="5">
        <f>SUM(N4:N18)</f>
        <v>0</v>
      </c>
      <c r="O19" s="5">
        <f t="shared" ref="O19:P19" si="2">SUM(O4:O18)</f>
        <v>0</v>
      </c>
      <c r="P19" s="5">
        <f t="shared" si="2"/>
        <v>0</v>
      </c>
    </row>
  </sheetData>
  <protectedRanges>
    <protectedRange sqref="I10 I12:I18" name="entry area_1_2"/>
  </protectedRanges>
  <mergeCells count="1">
    <mergeCell ref="C19:E19"/>
  </mergeCells>
  <dataValidations count="1">
    <dataValidation type="whole" allowBlank="1" showInputMessage="1" showErrorMessage="1" sqref="I12:I18 I10" xr:uid="{180082C5-479A-4E3F-B3C3-5C98DB5451BD}">
      <formula1>0</formula1>
      <formula2>500000</formula2>
    </dataValidation>
  </dataValidations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243D-F031-450D-8F79-AF832B21F16E}">
  <sheetPr>
    <pageSetUpPr fitToPage="1"/>
  </sheetPr>
  <dimension ref="C2:P19"/>
  <sheetViews>
    <sheetView rightToLeft="1" zoomScale="30" zoomScaleNormal="30" workbookViewId="0">
      <selection activeCell="F4" sqref="F4:P18"/>
    </sheetView>
  </sheetViews>
  <sheetFormatPr defaultColWidth="8.7265625" defaultRowHeight="92.5" customHeight="1" x14ac:dyDescent="1.65"/>
  <cols>
    <col min="1" max="1" width="8.7265625" style="8"/>
    <col min="2" max="2" width="8.7265625" style="8" customWidth="1"/>
    <col min="3" max="3" width="55.81640625" style="8" bestFit="1" customWidth="1"/>
    <col min="4" max="4" width="59.81640625" style="8" bestFit="1" customWidth="1"/>
    <col min="5" max="5" width="38.54296875" style="8" bestFit="1" customWidth="1"/>
    <col min="6" max="6" width="46.1796875" style="8" bestFit="1" customWidth="1"/>
    <col min="7" max="7" width="46.453125" style="8" bestFit="1" customWidth="1"/>
    <col min="8" max="8" width="61.90625" style="8" bestFit="1" customWidth="1"/>
    <col min="9" max="9" width="63.7265625" style="8" bestFit="1" customWidth="1"/>
    <col min="10" max="10" width="61.26953125" style="8" bestFit="1" customWidth="1"/>
    <col min="11" max="11" width="43.08984375" style="8" bestFit="1" customWidth="1"/>
    <col min="12" max="12" width="59.1796875" style="8" bestFit="1" customWidth="1"/>
    <col min="13" max="13" width="77.36328125" style="8" bestFit="1" customWidth="1"/>
    <col min="14" max="14" width="46.7265625" style="8" bestFit="1" customWidth="1"/>
    <col min="15" max="15" width="56.1796875" style="8" bestFit="1" customWidth="1"/>
    <col min="16" max="16" width="68.90625" style="8" bestFit="1" customWidth="1"/>
    <col min="17" max="16384" width="8.7265625" style="8"/>
  </cols>
  <sheetData>
    <row r="2" spans="3:16" ht="92.5" customHeight="1" x14ac:dyDescent="1.65">
      <c r="C2" s="17" t="s">
        <v>98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6"/>
    </row>
    <row r="3" spans="3:16" ht="92.5" customHeight="1" x14ac:dyDescent="1.65">
      <c r="C3" s="1" t="s">
        <v>0</v>
      </c>
      <c r="D3" s="3" t="s">
        <v>37</v>
      </c>
      <c r="E3" s="3" t="s">
        <v>38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46</v>
      </c>
      <c r="K3" s="3" t="s">
        <v>40</v>
      </c>
      <c r="L3" s="9" t="s">
        <v>6</v>
      </c>
      <c r="M3" s="9" t="s">
        <v>41</v>
      </c>
      <c r="N3" s="3" t="s">
        <v>42</v>
      </c>
      <c r="O3" s="3" t="s">
        <v>5</v>
      </c>
      <c r="P3" s="7" t="s">
        <v>44</v>
      </c>
    </row>
    <row r="4" spans="3:16" ht="92.5" customHeight="1" x14ac:dyDescent="1.65">
      <c r="C4" s="1" t="s">
        <v>77</v>
      </c>
      <c r="D4" s="1" t="s">
        <v>7</v>
      </c>
      <c r="E4" s="1" t="s">
        <v>8</v>
      </c>
      <c r="F4" s="4"/>
      <c r="G4" s="4"/>
      <c r="H4" s="4"/>
      <c r="I4" s="4"/>
      <c r="J4" s="4"/>
      <c r="K4" s="15"/>
      <c r="L4" s="4"/>
      <c r="M4" s="4"/>
      <c r="N4" s="10"/>
      <c r="O4" s="4"/>
      <c r="P4" s="4"/>
    </row>
    <row r="5" spans="3:16" ht="92.5" customHeight="1" x14ac:dyDescent="1.65">
      <c r="C5" s="1" t="s">
        <v>78</v>
      </c>
      <c r="D5" s="1" t="s">
        <v>31</v>
      </c>
      <c r="E5" s="1" t="s">
        <v>26</v>
      </c>
      <c r="F5" s="4"/>
      <c r="G5" s="4"/>
      <c r="H5" s="4"/>
      <c r="I5" s="4"/>
      <c r="J5" s="4"/>
      <c r="K5" s="15"/>
      <c r="L5" s="4"/>
      <c r="M5" s="4"/>
      <c r="N5" s="10"/>
      <c r="O5" s="4"/>
      <c r="P5" s="4"/>
    </row>
    <row r="6" spans="3:16" ht="92.5" customHeight="1" x14ac:dyDescent="1.65">
      <c r="C6" s="1" t="s">
        <v>79</v>
      </c>
      <c r="D6" s="1" t="s">
        <v>10</v>
      </c>
      <c r="E6" s="1" t="s">
        <v>11</v>
      </c>
      <c r="F6" s="4"/>
      <c r="G6" s="4"/>
      <c r="H6" s="4"/>
      <c r="I6" s="4"/>
      <c r="J6" s="4"/>
      <c r="K6" s="15"/>
      <c r="L6" s="4"/>
      <c r="M6" s="4"/>
      <c r="N6" s="10"/>
      <c r="O6" s="4"/>
      <c r="P6" s="4"/>
    </row>
    <row r="7" spans="3:16" ht="92.5" customHeight="1" x14ac:dyDescent="1.65">
      <c r="C7" s="1" t="s">
        <v>80</v>
      </c>
      <c r="D7" s="1" t="s">
        <v>32</v>
      </c>
      <c r="E7" s="1" t="s">
        <v>9</v>
      </c>
      <c r="F7" s="4"/>
      <c r="G7" s="4"/>
      <c r="H7" s="4"/>
      <c r="I7" s="4"/>
      <c r="J7" s="4"/>
      <c r="K7" s="15"/>
      <c r="L7" s="4"/>
      <c r="M7" s="4"/>
      <c r="N7" s="10"/>
      <c r="O7" s="4"/>
      <c r="P7" s="4"/>
    </row>
    <row r="8" spans="3:16" ht="92.5" customHeight="1" x14ac:dyDescent="1.65">
      <c r="C8" s="1" t="s">
        <v>81</v>
      </c>
      <c r="D8" s="1" t="s">
        <v>13</v>
      </c>
      <c r="E8" s="1" t="s">
        <v>14</v>
      </c>
      <c r="F8" s="4"/>
      <c r="G8" s="4"/>
      <c r="H8" s="4"/>
      <c r="I8" s="4"/>
      <c r="J8" s="4"/>
      <c r="K8" s="15"/>
      <c r="L8" s="4"/>
      <c r="M8" s="4"/>
      <c r="N8" s="10"/>
      <c r="O8" s="4"/>
      <c r="P8" s="4"/>
    </row>
    <row r="9" spans="3:16" ht="92.5" customHeight="1" x14ac:dyDescent="1.65">
      <c r="C9" s="1" t="s">
        <v>82</v>
      </c>
      <c r="D9" s="1" t="s">
        <v>15</v>
      </c>
      <c r="E9" s="1" t="s">
        <v>33</v>
      </c>
      <c r="F9" s="4"/>
      <c r="G9" s="4"/>
      <c r="H9" s="4"/>
      <c r="I9" s="4"/>
      <c r="J9" s="4"/>
      <c r="K9" s="15"/>
      <c r="L9" s="4"/>
      <c r="M9" s="4"/>
      <c r="N9" s="10"/>
      <c r="O9" s="4"/>
      <c r="P9" s="4"/>
    </row>
    <row r="10" spans="3:16" ht="92.5" customHeight="1" x14ac:dyDescent="1.65">
      <c r="C10" s="1" t="s">
        <v>83</v>
      </c>
      <c r="D10" s="1" t="s">
        <v>16</v>
      </c>
      <c r="E10" s="1" t="s">
        <v>17</v>
      </c>
      <c r="F10" s="4"/>
      <c r="G10" s="4"/>
      <c r="H10" s="4"/>
      <c r="I10" s="11"/>
      <c r="J10" s="4"/>
      <c r="K10" s="15"/>
      <c r="L10" s="4"/>
      <c r="M10" s="4"/>
      <c r="N10" s="10"/>
      <c r="O10" s="4"/>
      <c r="P10" s="4"/>
    </row>
    <row r="11" spans="3:16" ht="92.5" customHeight="1" x14ac:dyDescent="1.65">
      <c r="C11" s="1" t="s">
        <v>84</v>
      </c>
      <c r="D11" s="1" t="s">
        <v>18</v>
      </c>
      <c r="E11" s="1" t="s">
        <v>28</v>
      </c>
      <c r="F11" s="10"/>
      <c r="G11" s="10"/>
      <c r="H11" s="11"/>
      <c r="I11" s="4"/>
      <c r="J11" s="4"/>
      <c r="K11" s="15"/>
      <c r="L11" s="4"/>
      <c r="M11" s="4"/>
      <c r="N11" s="10"/>
      <c r="O11" s="4"/>
      <c r="P11" s="4"/>
    </row>
    <row r="12" spans="3:16" ht="92.5" customHeight="1" x14ac:dyDescent="1.65">
      <c r="C12" s="1" t="s">
        <v>85</v>
      </c>
      <c r="D12" s="1" t="s">
        <v>19</v>
      </c>
      <c r="E12" s="1" t="s">
        <v>20</v>
      </c>
      <c r="F12" s="4"/>
      <c r="G12" s="4"/>
      <c r="H12" s="11"/>
      <c r="I12" s="11"/>
      <c r="J12" s="4"/>
      <c r="K12" s="15"/>
      <c r="L12" s="4"/>
      <c r="M12" s="4"/>
      <c r="N12" s="4"/>
      <c r="O12" s="4"/>
      <c r="P12" s="4"/>
    </row>
    <row r="13" spans="3:16" ht="92.5" customHeight="1" x14ac:dyDescent="1.65">
      <c r="C13" s="1" t="s">
        <v>86</v>
      </c>
      <c r="D13" s="1" t="s">
        <v>21</v>
      </c>
      <c r="E13" s="1" t="s">
        <v>34</v>
      </c>
      <c r="F13" s="4"/>
      <c r="G13" s="4"/>
      <c r="H13" s="11"/>
      <c r="I13" s="11"/>
      <c r="J13" s="4"/>
      <c r="K13" s="15"/>
      <c r="L13" s="4"/>
      <c r="M13" s="4"/>
      <c r="N13" s="4"/>
      <c r="O13" s="4"/>
      <c r="P13" s="4"/>
    </row>
    <row r="14" spans="3:16" ht="92.5" customHeight="1" x14ac:dyDescent="1.65">
      <c r="C14" s="1" t="s">
        <v>87</v>
      </c>
      <c r="D14" s="1" t="s">
        <v>22</v>
      </c>
      <c r="E14" s="1" t="s">
        <v>23</v>
      </c>
      <c r="F14" s="4"/>
      <c r="G14" s="4"/>
      <c r="H14" s="11"/>
      <c r="I14" s="11"/>
      <c r="J14" s="4"/>
      <c r="K14" s="15"/>
      <c r="L14" s="4"/>
      <c r="M14" s="4"/>
      <c r="N14" s="4"/>
      <c r="O14" s="4"/>
      <c r="P14" s="14"/>
    </row>
    <row r="15" spans="3:16" ht="92.5" customHeight="1" x14ac:dyDescent="1.65">
      <c r="C15" s="1" t="s">
        <v>88</v>
      </c>
      <c r="D15" s="1" t="s">
        <v>24</v>
      </c>
      <c r="E15" s="1" t="s">
        <v>25</v>
      </c>
      <c r="F15" s="4"/>
      <c r="G15" s="4"/>
      <c r="H15" s="11"/>
      <c r="I15" s="11"/>
      <c r="J15" s="4"/>
      <c r="K15" s="15"/>
      <c r="L15" s="4"/>
      <c r="M15" s="4"/>
      <c r="N15" s="4"/>
      <c r="O15" s="4"/>
      <c r="P15" s="4"/>
    </row>
    <row r="16" spans="3:16" ht="92.5" customHeight="1" x14ac:dyDescent="1.65">
      <c r="C16" s="1" t="s">
        <v>89</v>
      </c>
      <c r="D16" s="1" t="s">
        <v>43</v>
      </c>
      <c r="E16" s="1" t="s">
        <v>35</v>
      </c>
      <c r="F16" s="4"/>
      <c r="G16" s="4"/>
      <c r="H16" s="11"/>
      <c r="I16" s="11"/>
      <c r="J16" s="4"/>
      <c r="K16" s="15"/>
      <c r="L16" s="4"/>
      <c r="M16" s="4"/>
      <c r="N16" s="4"/>
      <c r="O16" s="4"/>
      <c r="P16" s="4"/>
    </row>
    <row r="17" spans="3:16" ht="92.5" customHeight="1" x14ac:dyDescent="1.65">
      <c r="C17" s="1" t="s">
        <v>90</v>
      </c>
      <c r="D17" s="1" t="s">
        <v>30</v>
      </c>
      <c r="E17" s="1" t="s">
        <v>27</v>
      </c>
      <c r="F17" s="4"/>
      <c r="G17" s="4"/>
      <c r="H17" s="11"/>
      <c r="I17" s="11"/>
      <c r="J17" s="4"/>
      <c r="K17" s="15"/>
      <c r="L17" s="4"/>
      <c r="M17" s="4"/>
      <c r="N17" s="4"/>
      <c r="O17" s="4"/>
      <c r="P17" s="4"/>
    </row>
    <row r="18" spans="3:16" ht="92.5" customHeight="1" x14ac:dyDescent="1.65">
      <c r="C18" s="1" t="s">
        <v>91</v>
      </c>
      <c r="D18" s="1" t="s">
        <v>36</v>
      </c>
      <c r="E18" s="1" t="s">
        <v>12</v>
      </c>
      <c r="F18" s="4"/>
      <c r="G18" s="4"/>
      <c r="H18" s="11"/>
      <c r="I18" s="11"/>
      <c r="J18" s="4"/>
      <c r="K18" s="15"/>
      <c r="L18" s="4"/>
      <c r="M18" s="4"/>
      <c r="N18" s="4"/>
      <c r="O18" s="4"/>
      <c r="P18" s="4"/>
    </row>
    <row r="19" spans="3:16" ht="92.5" customHeight="1" x14ac:dyDescent="1.65">
      <c r="C19" s="21" t="s">
        <v>29</v>
      </c>
      <c r="D19" s="21"/>
      <c r="E19" s="21"/>
      <c r="F19" s="5">
        <f>SUM(F4:F18)</f>
        <v>0</v>
      </c>
      <c r="G19" s="5">
        <f t="shared" ref="G19:J19" si="0">SUM(G4:G18)</f>
        <v>0</v>
      </c>
      <c r="H19" s="5">
        <f t="shared" si="0"/>
        <v>0</v>
      </c>
      <c r="I19" s="5">
        <f t="shared" si="0"/>
        <v>0</v>
      </c>
      <c r="J19" s="5">
        <f t="shared" si="0"/>
        <v>0</v>
      </c>
      <c r="K19" s="16">
        <v>0.7</v>
      </c>
      <c r="L19" s="5">
        <f>SUM(L4:L18)</f>
        <v>0</v>
      </c>
      <c r="M19" s="5">
        <f t="shared" ref="M19" si="1">SUM(M4:M18)</f>
        <v>0</v>
      </c>
      <c r="N19" s="5">
        <f>SUM(N4:N18)</f>
        <v>0</v>
      </c>
      <c r="O19" s="5">
        <f t="shared" ref="O19:P19" si="2">SUM(O4:O18)</f>
        <v>0</v>
      </c>
      <c r="P19" s="5">
        <f t="shared" si="2"/>
        <v>0</v>
      </c>
    </row>
  </sheetData>
  <protectedRanges>
    <protectedRange sqref="I10 I12:I18" name="entry area_1_2"/>
  </protectedRanges>
  <mergeCells count="1">
    <mergeCell ref="C19:E19"/>
  </mergeCells>
  <dataValidations count="1">
    <dataValidation type="whole" allowBlank="1" showInputMessage="1" showErrorMessage="1" sqref="I12:I18 I10" xr:uid="{D8B45E54-0FB8-449C-8B8D-E34DF4ED48AF}">
      <formula1>0</formula1>
      <formula2>500000</formula2>
    </dataValidation>
  </dataValidations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314B-C656-4C1F-9544-F22E80D34A31}">
  <sheetPr>
    <pageSetUpPr fitToPage="1"/>
  </sheetPr>
  <dimension ref="C2:P19"/>
  <sheetViews>
    <sheetView rightToLeft="1" zoomScale="30" zoomScaleNormal="30" workbookViewId="0">
      <selection activeCell="F4" sqref="F4:P18"/>
    </sheetView>
  </sheetViews>
  <sheetFormatPr defaultColWidth="8.7265625" defaultRowHeight="92.5" customHeight="1" x14ac:dyDescent="1.65"/>
  <cols>
    <col min="1" max="1" width="8.7265625" style="8"/>
    <col min="2" max="2" width="8.7265625" style="8" customWidth="1"/>
    <col min="3" max="3" width="55.81640625" style="8" bestFit="1" customWidth="1"/>
    <col min="4" max="4" width="59.81640625" style="8" bestFit="1" customWidth="1"/>
    <col min="5" max="5" width="38.54296875" style="8" bestFit="1" customWidth="1"/>
    <col min="6" max="6" width="46.1796875" style="8" bestFit="1" customWidth="1"/>
    <col min="7" max="7" width="46.453125" style="8" bestFit="1" customWidth="1"/>
    <col min="8" max="8" width="61.90625" style="8" bestFit="1" customWidth="1"/>
    <col min="9" max="9" width="63.7265625" style="8" bestFit="1" customWidth="1"/>
    <col min="10" max="10" width="61.26953125" style="8" bestFit="1" customWidth="1"/>
    <col min="11" max="11" width="43.08984375" style="8" bestFit="1" customWidth="1"/>
    <col min="12" max="12" width="59.1796875" style="8" bestFit="1" customWidth="1"/>
    <col min="13" max="13" width="77.36328125" style="8" bestFit="1" customWidth="1"/>
    <col min="14" max="14" width="46.7265625" style="8" bestFit="1" customWidth="1"/>
    <col min="15" max="15" width="56.1796875" style="8" bestFit="1" customWidth="1"/>
    <col min="16" max="16" width="68.90625" style="8" bestFit="1" customWidth="1"/>
    <col min="17" max="16384" width="8.7265625" style="8"/>
  </cols>
  <sheetData>
    <row r="2" spans="3:16" ht="92.5" customHeight="1" x14ac:dyDescent="1.65">
      <c r="C2" s="17" t="s">
        <v>97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6"/>
    </row>
    <row r="3" spans="3:16" ht="92.5" customHeight="1" x14ac:dyDescent="1.65">
      <c r="C3" s="1" t="s">
        <v>0</v>
      </c>
      <c r="D3" s="3" t="s">
        <v>37</v>
      </c>
      <c r="E3" s="3" t="s">
        <v>38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46</v>
      </c>
      <c r="K3" s="3" t="s">
        <v>40</v>
      </c>
      <c r="L3" s="9" t="s">
        <v>6</v>
      </c>
      <c r="M3" s="9" t="s">
        <v>41</v>
      </c>
      <c r="N3" s="3" t="s">
        <v>42</v>
      </c>
      <c r="O3" s="3" t="s">
        <v>5</v>
      </c>
      <c r="P3" s="7" t="s">
        <v>44</v>
      </c>
    </row>
    <row r="4" spans="3:16" ht="92.5" customHeight="1" x14ac:dyDescent="1.65">
      <c r="C4" s="1" t="s">
        <v>77</v>
      </c>
      <c r="D4" s="1" t="s">
        <v>7</v>
      </c>
      <c r="E4" s="1" t="s">
        <v>8</v>
      </c>
      <c r="F4" s="4"/>
      <c r="G4" s="4"/>
      <c r="H4" s="4"/>
      <c r="I4" s="4"/>
      <c r="J4" s="4"/>
      <c r="K4" s="15"/>
      <c r="L4" s="4"/>
      <c r="M4" s="4"/>
      <c r="N4" s="10"/>
      <c r="O4" s="4"/>
      <c r="P4" s="4"/>
    </row>
    <row r="5" spans="3:16" ht="92.5" customHeight="1" x14ac:dyDescent="1.65">
      <c r="C5" s="1" t="s">
        <v>78</v>
      </c>
      <c r="D5" s="1" t="s">
        <v>31</v>
      </c>
      <c r="E5" s="1" t="s">
        <v>26</v>
      </c>
      <c r="F5" s="4"/>
      <c r="G5" s="4"/>
      <c r="H5" s="4"/>
      <c r="I5" s="4"/>
      <c r="J5" s="4"/>
      <c r="K5" s="15"/>
      <c r="L5" s="4"/>
      <c r="M5" s="4"/>
      <c r="N5" s="10"/>
      <c r="O5" s="4"/>
      <c r="P5" s="4"/>
    </row>
    <row r="6" spans="3:16" ht="92.5" customHeight="1" x14ac:dyDescent="1.65">
      <c r="C6" s="1" t="s">
        <v>79</v>
      </c>
      <c r="D6" s="1" t="s">
        <v>10</v>
      </c>
      <c r="E6" s="1" t="s">
        <v>11</v>
      </c>
      <c r="F6" s="4"/>
      <c r="G6" s="4"/>
      <c r="H6" s="4"/>
      <c r="I6" s="4"/>
      <c r="J6" s="4"/>
      <c r="K6" s="15"/>
      <c r="L6" s="4"/>
      <c r="M6" s="4"/>
      <c r="N6" s="10"/>
      <c r="O6" s="4"/>
      <c r="P6" s="4"/>
    </row>
    <row r="7" spans="3:16" ht="92.5" customHeight="1" x14ac:dyDescent="1.65">
      <c r="C7" s="1" t="s">
        <v>80</v>
      </c>
      <c r="D7" s="1" t="s">
        <v>32</v>
      </c>
      <c r="E7" s="1" t="s">
        <v>9</v>
      </c>
      <c r="F7" s="4"/>
      <c r="G7" s="4"/>
      <c r="H7" s="4"/>
      <c r="I7" s="4"/>
      <c r="J7" s="4"/>
      <c r="K7" s="15"/>
      <c r="L7" s="4"/>
      <c r="M7" s="4"/>
      <c r="N7" s="10"/>
      <c r="O7" s="4"/>
      <c r="P7" s="4"/>
    </row>
    <row r="8" spans="3:16" ht="92.5" customHeight="1" x14ac:dyDescent="1.65">
      <c r="C8" s="1" t="s">
        <v>81</v>
      </c>
      <c r="D8" s="1" t="s">
        <v>13</v>
      </c>
      <c r="E8" s="1" t="s">
        <v>14</v>
      </c>
      <c r="F8" s="4"/>
      <c r="G8" s="4"/>
      <c r="H8" s="4"/>
      <c r="I8" s="4"/>
      <c r="J8" s="4"/>
      <c r="K8" s="15"/>
      <c r="L8" s="4"/>
      <c r="M8" s="4"/>
      <c r="N8" s="10"/>
      <c r="O8" s="4"/>
      <c r="P8" s="4"/>
    </row>
    <row r="9" spans="3:16" ht="92.5" customHeight="1" x14ac:dyDescent="1.65">
      <c r="C9" s="1" t="s">
        <v>82</v>
      </c>
      <c r="D9" s="1" t="s">
        <v>15</v>
      </c>
      <c r="E9" s="1" t="s">
        <v>33</v>
      </c>
      <c r="F9" s="4"/>
      <c r="G9" s="4"/>
      <c r="H9" s="4"/>
      <c r="I9" s="4"/>
      <c r="J9" s="4"/>
      <c r="K9" s="15"/>
      <c r="L9" s="4"/>
      <c r="M9" s="4"/>
      <c r="N9" s="10"/>
      <c r="O9" s="4"/>
      <c r="P9" s="4"/>
    </row>
    <row r="10" spans="3:16" ht="92.5" customHeight="1" x14ac:dyDescent="1.65">
      <c r="C10" s="1" t="s">
        <v>83</v>
      </c>
      <c r="D10" s="1" t="s">
        <v>16</v>
      </c>
      <c r="E10" s="1" t="s">
        <v>17</v>
      </c>
      <c r="F10" s="4"/>
      <c r="G10" s="4"/>
      <c r="H10" s="4"/>
      <c r="I10" s="11"/>
      <c r="J10" s="4"/>
      <c r="K10" s="15"/>
      <c r="L10" s="4"/>
      <c r="M10" s="4"/>
      <c r="N10" s="10"/>
      <c r="O10" s="4"/>
      <c r="P10" s="4"/>
    </row>
    <row r="11" spans="3:16" ht="92.5" customHeight="1" x14ac:dyDescent="1.65">
      <c r="C11" s="1" t="s">
        <v>84</v>
      </c>
      <c r="D11" s="1" t="s">
        <v>18</v>
      </c>
      <c r="E11" s="1" t="s">
        <v>28</v>
      </c>
      <c r="F11" s="10"/>
      <c r="G11" s="10"/>
      <c r="H11" s="11"/>
      <c r="I11" s="4"/>
      <c r="J11" s="4"/>
      <c r="K11" s="15"/>
      <c r="L11" s="4"/>
      <c r="M11" s="4"/>
      <c r="N11" s="10"/>
      <c r="O11" s="4"/>
      <c r="P11" s="4"/>
    </row>
    <row r="12" spans="3:16" ht="92.5" customHeight="1" x14ac:dyDescent="1.65">
      <c r="C12" s="1" t="s">
        <v>85</v>
      </c>
      <c r="D12" s="1" t="s">
        <v>19</v>
      </c>
      <c r="E12" s="1" t="s">
        <v>20</v>
      </c>
      <c r="F12" s="4"/>
      <c r="G12" s="4"/>
      <c r="H12" s="11"/>
      <c r="I12" s="11"/>
      <c r="J12" s="4"/>
      <c r="K12" s="15"/>
      <c r="L12" s="4"/>
      <c r="M12" s="4"/>
      <c r="N12" s="4"/>
      <c r="O12" s="4"/>
      <c r="P12" s="4"/>
    </row>
    <row r="13" spans="3:16" ht="92.5" customHeight="1" x14ac:dyDescent="1.65">
      <c r="C13" s="1" t="s">
        <v>86</v>
      </c>
      <c r="D13" s="1" t="s">
        <v>21</v>
      </c>
      <c r="E13" s="1" t="s">
        <v>34</v>
      </c>
      <c r="F13" s="4"/>
      <c r="G13" s="4"/>
      <c r="H13" s="11"/>
      <c r="I13" s="11"/>
      <c r="J13" s="4"/>
      <c r="K13" s="15"/>
      <c r="L13" s="4"/>
      <c r="M13" s="4"/>
      <c r="N13" s="4"/>
      <c r="O13" s="4"/>
      <c r="P13" s="4"/>
    </row>
    <row r="14" spans="3:16" ht="92.5" customHeight="1" x14ac:dyDescent="1.65">
      <c r="C14" s="1" t="s">
        <v>87</v>
      </c>
      <c r="D14" s="1" t="s">
        <v>22</v>
      </c>
      <c r="E14" s="1" t="s">
        <v>23</v>
      </c>
      <c r="F14" s="4"/>
      <c r="G14" s="4"/>
      <c r="H14" s="11"/>
      <c r="I14" s="11"/>
      <c r="J14" s="4"/>
      <c r="K14" s="15"/>
      <c r="L14" s="4"/>
      <c r="M14" s="4"/>
      <c r="N14" s="4"/>
      <c r="O14" s="4"/>
      <c r="P14" s="14"/>
    </row>
    <row r="15" spans="3:16" ht="92.5" customHeight="1" x14ac:dyDescent="1.65">
      <c r="C15" s="1" t="s">
        <v>88</v>
      </c>
      <c r="D15" s="1" t="s">
        <v>24</v>
      </c>
      <c r="E15" s="1" t="s">
        <v>25</v>
      </c>
      <c r="F15" s="4"/>
      <c r="G15" s="4"/>
      <c r="H15" s="11"/>
      <c r="I15" s="11"/>
      <c r="J15" s="4"/>
      <c r="K15" s="15"/>
      <c r="L15" s="4"/>
      <c r="M15" s="4"/>
      <c r="N15" s="4"/>
      <c r="O15" s="4"/>
      <c r="P15" s="4"/>
    </row>
    <row r="16" spans="3:16" ht="92.5" customHeight="1" x14ac:dyDescent="1.65">
      <c r="C16" s="1" t="s">
        <v>89</v>
      </c>
      <c r="D16" s="1" t="s">
        <v>43</v>
      </c>
      <c r="E16" s="1" t="s">
        <v>35</v>
      </c>
      <c r="F16" s="4"/>
      <c r="G16" s="4"/>
      <c r="H16" s="11"/>
      <c r="I16" s="11"/>
      <c r="J16" s="4"/>
      <c r="K16" s="15"/>
      <c r="L16" s="4"/>
      <c r="M16" s="4"/>
      <c r="N16" s="4"/>
      <c r="O16" s="4"/>
      <c r="P16" s="4"/>
    </row>
    <row r="17" spans="3:16" ht="92.5" customHeight="1" x14ac:dyDescent="1.65">
      <c r="C17" s="1" t="s">
        <v>90</v>
      </c>
      <c r="D17" s="1" t="s">
        <v>30</v>
      </c>
      <c r="E17" s="1" t="s">
        <v>27</v>
      </c>
      <c r="F17" s="4"/>
      <c r="G17" s="4"/>
      <c r="H17" s="11"/>
      <c r="I17" s="11"/>
      <c r="J17" s="4"/>
      <c r="K17" s="15"/>
      <c r="L17" s="4"/>
      <c r="M17" s="4"/>
      <c r="N17" s="4"/>
      <c r="O17" s="4"/>
      <c r="P17" s="4"/>
    </row>
    <row r="18" spans="3:16" ht="92.5" customHeight="1" x14ac:dyDescent="1.65">
      <c r="C18" s="1" t="s">
        <v>91</v>
      </c>
      <c r="D18" s="1" t="s">
        <v>36</v>
      </c>
      <c r="E18" s="1" t="s">
        <v>12</v>
      </c>
      <c r="F18" s="4"/>
      <c r="G18" s="4"/>
      <c r="H18" s="11"/>
      <c r="I18" s="11"/>
      <c r="J18" s="4"/>
      <c r="K18" s="15"/>
      <c r="L18" s="4"/>
      <c r="M18" s="4"/>
      <c r="N18" s="4"/>
      <c r="O18" s="4"/>
      <c r="P18" s="4"/>
    </row>
    <row r="19" spans="3:16" ht="92.5" customHeight="1" x14ac:dyDescent="1.65">
      <c r="C19" s="21" t="s">
        <v>29</v>
      </c>
      <c r="D19" s="21"/>
      <c r="E19" s="21"/>
      <c r="F19" s="5">
        <f>SUM(F4:F18)</f>
        <v>0</v>
      </c>
      <c r="G19" s="5">
        <f t="shared" ref="G19:J19" si="0">SUM(G4:G18)</f>
        <v>0</v>
      </c>
      <c r="H19" s="5">
        <f t="shared" si="0"/>
        <v>0</v>
      </c>
      <c r="I19" s="5">
        <f t="shared" si="0"/>
        <v>0</v>
      </c>
      <c r="J19" s="5">
        <f t="shared" si="0"/>
        <v>0</v>
      </c>
      <c r="K19" s="16">
        <v>0.7</v>
      </c>
      <c r="L19" s="5">
        <f>SUM(L4:L18)</f>
        <v>0</v>
      </c>
      <c r="M19" s="5">
        <f t="shared" ref="M19" si="1">SUM(M4:M18)</f>
        <v>0</v>
      </c>
      <c r="N19" s="5">
        <f>SUM(N4:N18)</f>
        <v>0</v>
      </c>
      <c r="O19" s="5">
        <f t="shared" ref="O19:P19" si="2">SUM(O4:O18)</f>
        <v>0</v>
      </c>
      <c r="P19" s="5">
        <f t="shared" si="2"/>
        <v>0</v>
      </c>
    </row>
  </sheetData>
  <protectedRanges>
    <protectedRange sqref="I10 I12:I18" name="entry area_1_2"/>
  </protectedRanges>
  <mergeCells count="1">
    <mergeCell ref="C19:E19"/>
  </mergeCells>
  <dataValidations count="1">
    <dataValidation type="whole" allowBlank="1" showInputMessage="1" showErrorMessage="1" sqref="I12:I18 I10" xr:uid="{A38FCA82-FB4A-451C-81E7-7161C91E98A8}">
      <formula1>0</formula1>
      <formula2>500000</formula2>
    </dataValidation>
  </dataValidations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AC25E-B2CE-4F6E-BAB3-229E60CD9CD2}">
  <sheetPr>
    <pageSetUpPr fitToPage="1"/>
  </sheetPr>
  <dimension ref="C2:P19"/>
  <sheetViews>
    <sheetView rightToLeft="1" zoomScale="30" zoomScaleNormal="30" workbookViewId="0">
      <selection activeCell="F4" sqref="F4:P18"/>
    </sheetView>
  </sheetViews>
  <sheetFormatPr defaultColWidth="8.7265625" defaultRowHeight="92.5" customHeight="1" x14ac:dyDescent="1.65"/>
  <cols>
    <col min="1" max="1" width="8.7265625" style="8"/>
    <col min="2" max="2" width="8.7265625" style="8" customWidth="1"/>
    <col min="3" max="3" width="55.81640625" style="8" bestFit="1" customWidth="1"/>
    <col min="4" max="4" width="59.81640625" style="8" bestFit="1" customWidth="1"/>
    <col min="5" max="5" width="38.54296875" style="8" bestFit="1" customWidth="1"/>
    <col min="6" max="6" width="46.1796875" style="8" bestFit="1" customWidth="1"/>
    <col min="7" max="7" width="46.453125" style="8" bestFit="1" customWidth="1"/>
    <col min="8" max="8" width="61.90625" style="8" bestFit="1" customWidth="1"/>
    <col min="9" max="9" width="63.7265625" style="8" bestFit="1" customWidth="1"/>
    <col min="10" max="10" width="61.26953125" style="8" bestFit="1" customWidth="1"/>
    <col min="11" max="11" width="43.08984375" style="8" bestFit="1" customWidth="1"/>
    <col min="12" max="12" width="59.1796875" style="8" bestFit="1" customWidth="1"/>
    <col min="13" max="13" width="77.36328125" style="8" bestFit="1" customWidth="1"/>
    <col min="14" max="14" width="46.7265625" style="8" bestFit="1" customWidth="1"/>
    <col min="15" max="15" width="56.1796875" style="8" bestFit="1" customWidth="1"/>
    <col min="16" max="16" width="68.90625" style="8" bestFit="1" customWidth="1"/>
    <col min="17" max="16384" width="8.7265625" style="8"/>
  </cols>
  <sheetData>
    <row r="2" spans="3:16" ht="92.5" customHeight="1" x14ac:dyDescent="1.65">
      <c r="C2" s="17" t="s">
        <v>96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6"/>
    </row>
    <row r="3" spans="3:16" ht="92.5" customHeight="1" x14ac:dyDescent="1.65">
      <c r="C3" s="1" t="s">
        <v>0</v>
      </c>
      <c r="D3" s="3" t="s">
        <v>37</v>
      </c>
      <c r="E3" s="3" t="s">
        <v>38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46</v>
      </c>
      <c r="K3" s="3" t="s">
        <v>40</v>
      </c>
      <c r="L3" s="9" t="s">
        <v>6</v>
      </c>
      <c r="M3" s="9" t="s">
        <v>41</v>
      </c>
      <c r="N3" s="3" t="s">
        <v>42</v>
      </c>
      <c r="O3" s="3" t="s">
        <v>5</v>
      </c>
      <c r="P3" s="7" t="s">
        <v>44</v>
      </c>
    </row>
    <row r="4" spans="3:16" ht="92.5" customHeight="1" x14ac:dyDescent="1.65">
      <c r="C4" s="1" t="s">
        <v>77</v>
      </c>
      <c r="D4" s="1" t="s">
        <v>7</v>
      </c>
      <c r="E4" s="1" t="s">
        <v>8</v>
      </c>
      <c r="F4" s="4"/>
      <c r="G4" s="4"/>
      <c r="H4" s="4"/>
      <c r="I4" s="4"/>
      <c r="J4" s="4"/>
      <c r="K4" s="15"/>
      <c r="L4" s="4"/>
      <c r="M4" s="4"/>
      <c r="N4" s="10"/>
      <c r="O4" s="4"/>
      <c r="P4" s="4"/>
    </row>
    <row r="5" spans="3:16" ht="92.5" customHeight="1" x14ac:dyDescent="1.65">
      <c r="C5" s="1" t="s">
        <v>78</v>
      </c>
      <c r="D5" s="1" t="s">
        <v>31</v>
      </c>
      <c r="E5" s="1" t="s">
        <v>26</v>
      </c>
      <c r="F5" s="4"/>
      <c r="G5" s="4"/>
      <c r="H5" s="4"/>
      <c r="I5" s="4"/>
      <c r="J5" s="4"/>
      <c r="K5" s="15"/>
      <c r="L5" s="4"/>
      <c r="M5" s="4"/>
      <c r="N5" s="10"/>
      <c r="O5" s="4"/>
      <c r="P5" s="4"/>
    </row>
    <row r="6" spans="3:16" ht="92.5" customHeight="1" x14ac:dyDescent="1.65">
      <c r="C6" s="1" t="s">
        <v>79</v>
      </c>
      <c r="D6" s="1" t="s">
        <v>10</v>
      </c>
      <c r="E6" s="1" t="s">
        <v>11</v>
      </c>
      <c r="F6" s="4"/>
      <c r="G6" s="4"/>
      <c r="H6" s="4"/>
      <c r="I6" s="4"/>
      <c r="J6" s="4"/>
      <c r="K6" s="15"/>
      <c r="L6" s="4"/>
      <c r="M6" s="4"/>
      <c r="N6" s="10"/>
      <c r="O6" s="4"/>
      <c r="P6" s="4"/>
    </row>
    <row r="7" spans="3:16" ht="92.5" customHeight="1" x14ac:dyDescent="1.65">
      <c r="C7" s="1" t="s">
        <v>80</v>
      </c>
      <c r="D7" s="1" t="s">
        <v>32</v>
      </c>
      <c r="E7" s="1" t="s">
        <v>9</v>
      </c>
      <c r="F7" s="4"/>
      <c r="G7" s="4"/>
      <c r="H7" s="4"/>
      <c r="I7" s="4"/>
      <c r="J7" s="4"/>
      <c r="K7" s="15"/>
      <c r="L7" s="4"/>
      <c r="M7" s="4"/>
      <c r="N7" s="10"/>
      <c r="O7" s="4"/>
      <c r="P7" s="4"/>
    </row>
    <row r="8" spans="3:16" ht="92.5" customHeight="1" x14ac:dyDescent="1.65">
      <c r="C8" s="1" t="s">
        <v>81</v>
      </c>
      <c r="D8" s="1" t="s">
        <v>13</v>
      </c>
      <c r="E8" s="1" t="s">
        <v>14</v>
      </c>
      <c r="F8" s="4"/>
      <c r="G8" s="4"/>
      <c r="H8" s="4"/>
      <c r="I8" s="4"/>
      <c r="J8" s="4"/>
      <c r="K8" s="15"/>
      <c r="L8" s="4"/>
      <c r="M8" s="4"/>
      <c r="N8" s="10"/>
      <c r="O8" s="4"/>
      <c r="P8" s="4"/>
    </row>
    <row r="9" spans="3:16" ht="92.5" customHeight="1" x14ac:dyDescent="1.65">
      <c r="C9" s="1" t="s">
        <v>82</v>
      </c>
      <c r="D9" s="1" t="s">
        <v>15</v>
      </c>
      <c r="E9" s="1" t="s">
        <v>33</v>
      </c>
      <c r="F9" s="4"/>
      <c r="G9" s="4"/>
      <c r="H9" s="4"/>
      <c r="I9" s="4"/>
      <c r="J9" s="4"/>
      <c r="K9" s="15"/>
      <c r="L9" s="4"/>
      <c r="M9" s="4"/>
      <c r="N9" s="10"/>
      <c r="O9" s="4"/>
      <c r="P9" s="4"/>
    </row>
    <row r="10" spans="3:16" ht="92.5" customHeight="1" x14ac:dyDescent="1.65">
      <c r="C10" s="1" t="s">
        <v>83</v>
      </c>
      <c r="D10" s="1" t="s">
        <v>16</v>
      </c>
      <c r="E10" s="1" t="s">
        <v>17</v>
      </c>
      <c r="F10" s="4"/>
      <c r="G10" s="4"/>
      <c r="H10" s="4"/>
      <c r="I10" s="11"/>
      <c r="J10" s="4"/>
      <c r="K10" s="15"/>
      <c r="L10" s="4"/>
      <c r="M10" s="4"/>
      <c r="N10" s="10"/>
      <c r="O10" s="4"/>
      <c r="P10" s="4"/>
    </row>
    <row r="11" spans="3:16" ht="92.5" customHeight="1" x14ac:dyDescent="1.65">
      <c r="C11" s="1" t="s">
        <v>84</v>
      </c>
      <c r="D11" s="1" t="s">
        <v>18</v>
      </c>
      <c r="E11" s="1" t="s">
        <v>28</v>
      </c>
      <c r="F11" s="10"/>
      <c r="G11" s="10"/>
      <c r="H11" s="11"/>
      <c r="I11" s="4"/>
      <c r="J11" s="4"/>
      <c r="K11" s="15"/>
      <c r="L11" s="4"/>
      <c r="M11" s="4"/>
      <c r="N11" s="10"/>
      <c r="O11" s="4"/>
      <c r="P11" s="4"/>
    </row>
    <row r="12" spans="3:16" ht="92.5" customHeight="1" x14ac:dyDescent="1.65">
      <c r="C12" s="1" t="s">
        <v>85</v>
      </c>
      <c r="D12" s="1" t="s">
        <v>19</v>
      </c>
      <c r="E12" s="1" t="s">
        <v>20</v>
      </c>
      <c r="F12" s="4"/>
      <c r="G12" s="4"/>
      <c r="H12" s="11"/>
      <c r="I12" s="11"/>
      <c r="J12" s="4"/>
      <c r="K12" s="15"/>
      <c r="L12" s="4"/>
      <c r="M12" s="4"/>
      <c r="N12" s="4"/>
      <c r="O12" s="4"/>
      <c r="P12" s="4"/>
    </row>
    <row r="13" spans="3:16" ht="92.5" customHeight="1" x14ac:dyDescent="1.65">
      <c r="C13" s="1" t="s">
        <v>86</v>
      </c>
      <c r="D13" s="1" t="s">
        <v>21</v>
      </c>
      <c r="E13" s="1" t="s">
        <v>34</v>
      </c>
      <c r="F13" s="4"/>
      <c r="G13" s="4"/>
      <c r="H13" s="11"/>
      <c r="I13" s="11"/>
      <c r="J13" s="4"/>
      <c r="K13" s="15"/>
      <c r="L13" s="4"/>
      <c r="M13" s="4"/>
      <c r="N13" s="4"/>
      <c r="O13" s="4"/>
      <c r="P13" s="4"/>
    </row>
    <row r="14" spans="3:16" ht="92.5" customHeight="1" x14ac:dyDescent="1.65">
      <c r="C14" s="1" t="s">
        <v>87</v>
      </c>
      <c r="D14" s="1" t="s">
        <v>22</v>
      </c>
      <c r="E14" s="1" t="s">
        <v>23</v>
      </c>
      <c r="F14" s="4"/>
      <c r="G14" s="4"/>
      <c r="H14" s="11"/>
      <c r="I14" s="11"/>
      <c r="J14" s="4"/>
      <c r="K14" s="15"/>
      <c r="L14" s="4"/>
      <c r="M14" s="4"/>
      <c r="N14" s="4"/>
      <c r="O14" s="4"/>
      <c r="P14" s="14"/>
    </row>
    <row r="15" spans="3:16" ht="92.5" customHeight="1" x14ac:dyDescent="1.65">
      <c r="C15" s="1" t="s">
        <v>88</v>
      </c>
      <c r="D15" s="1" t="s">
        <v>24</v>
      </c>
      <c r="E15" s="1" t="s">
        <v>25</v>
      </c>
      <c r="F15" s="4"/>
      <c r="G15" s="4"/>
      <c r="H15" s="11"/>
      <c r="I15" s="11"/>
      <c r="J15" s="4"/>
      <c r="K15" s="15"/>
      <c r="L15" s="4"/>
      <c r="M15" s="4"/>
      <c r="N15" s="4"/>
      <c r="O15" s="4"/>
      <c r="P15" s="4"/>
    </row>
    <row r="16" spans="3:16" ht="92.5" customHeight="1" x14ac:dyDescent="1.65">
      <c r="C16" s="1" t="s">
        <v>89</v>
      </c>
      <c r="D16" s="1" t="s">
        <v>43</v>
      </c>
      <c r="E16" s="1" t="s">
        <v>35</v>
      </c>
      <c r="F16" s="4"/>
      <c r="G16" s="4"/>
      <c r="H16" s="11"/>
      <c r="I16" s="11"/>
      <c r="J16" s="4"/>
      <c r="K16" s="15"/>
      <c r="L16" s="4"/>
      <c r="M16" s="4"/>
      <c r="N16" s="4"/>
      <c r="O16" s="4"/>
      <c r="P16" s="4"/>
    </row>
    <row r="17" spans="3:16" ht="92.5" customHeight="1" x14ac:dyDescent="1.65">
      <c r="C17" s="1" t="s">
        <v>90</v>
      </c>
      <c r="D17" s="1" t="s">
        <v>30</v>
      </c>
      <c r="E17" s="1" t="s">
        <v>27</v>
      </c>
      <c r="F17" s="4"/>
      <c r="G17" s="4"/>
      <c r="H17" s="11"/>
      <c r="I17" s="11"/>
      <c r="J17" s="4"/>
      <c r="K17" s="15"/>
      <c r="L17" s="4"/>
      <c r="M17" s="4"/>
      <c r="N17" s="4"/>
      <c r="O17" s="4"/>
      <c r="P17" s="4"/>
    </row>
    <row r="18" spans="3:16" ht="92.5" customHeight="1" x14ac:dyDescent="1.65">
      <c r="C18" s="1" t="s">
        <v>91</v>
      </c>
      <c r="D18" s="1" t="s">
        <v>36</v>
      </c>
      <c r="E18" s="1" t="s">
        <v>12</v>
      </c>
      <c r="F18" s="4"/>
      <c r="G18" s="4"/>
      <c r="H18" s="11"/>
      <c r="I18" s="11"/>
      <c r="J18" s="4"/>
      <c r="K18" s="15"/>
      <c r="L18" s="4"/>
      <c r="M18" s="4"/>
      <c r="N18" s="4"/>
      <c r="O18" s="4"/>
      <c r="P18" s="4"/>
    </row>
    <row r="19" spans="3:16" ht="92.5" customHeight="1" x14ac:dyDescent="1.65">
      <c r="C19" s="21" t="s">
        <v>29</v>
      </c>
      <c r="D19" s="21"/>
      <c r="E19" s="21"/>
      <c r="F19" s="5">
        <f>SUM(F4:F18)</f>
        <v>0</v>
      </c>
      <c r="G19" s="5">
        <f t="shared" ref="G19:J19" si="0">SUM(G4:G18)</f>
        <v>0</v>
      </c>
      <c r="H19" s="5">
        <f t="shared" si="0"/>
        <v>0</v>
      </c>
      <c r="I19" s="5">
        <f t="shared" si="0"/>
        <v>0</v>
      </c>
      <c r="J19" s="5">
        <f t="shared" si="0"/>
        <v>0</v>
      </c>
      <c r="K19" s="16">
        <v>0.7</v>
      </c>
      <c r="L19" s="5">
        <f>SUM(L4:L18)</f>
        <v>0</v>
      </c>
      <c r="M19" s="5">
        <f t="shared" ref="M19" si="1">SUM(M4:M18)</f>
        <v>0</v>
      </c>
      <c r="N19" s="5">
        <f>SUM(N4:N18)</f>
        <v>0</v>
      </c>
      <c r="O19" s="5">
        <f t="shared" ref="O19:P19" si="2">SUM(O4:O18)</f>
        <v>0</v>
      </c>
      <c r="P19" s="5">
        <f t="shared" si="2"/>
        <v>0</v>
      </c>
    </row>
  </sheetData>
  <protectedRanges>
    <protectedRange sqref="I10 I12:I18" name="entry area_1_2"/>
  </protectedRanges>
  <mergeCells count="1">
    <mergeCell ref="C19:E19"/>
  </mergeCells>
  <dataValidations count="1">
    <dataValidation type="whole" allowBlank="1" showInputMessage="1" showErrorMessage="1" sqref="I12:I18 I10" xr:uid="{E4A7F1F1-3D99-4A2C-A596-372A0783FD1F}">
      <formula1>0</formula1>
      <formula2>500000</formula2>
    </dataValidation>
  </dataValidations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AB16-3B40-4E98-8DEC-6B17EC800295}">
  <sheetPr>
    <pageSetUpPr fitToPage="1"/>
  </sheetPr>
  <dimension ref="C2:P19"/>
  <sheetViews>
    <sheetView rightToLeft="1" zoomScale="30" zoomScaleNormal="30" workbookViewId="0">
      <selection activeCell="G7" sqref="G7"/>
    </sheetView>
  </sheetViews>
  <sheetFormatPr defaultColWidth="8.7265625" defaultRowHeight="92.5" customHeight="1" x14ac:dyDescent="1.65"/>
  <cols>
    <col min="1" max="1" width="8.7265625" style="8"/>
    <col min="2" max="2" width="8.7265625" style="8" customWidth="1"/>
    <col min="3" max="3" width="55.81640625" style="8" bestFit="1" customWidth="1"/>
    <col min="4" max="4" width="59.81640625" style="8" bestFit="1" customWidth="1"/>
    <col min="5" max="5" width="38.54296875" style="8" bestFit="1" customWidth="1"/>
    <col min="6" max="6" width="46.1796875" style="8" bestFit="1" customWidth="1"/>
    <col min="7" max="7" width="46.453125" style="8" bestFit="1" customWidth="1"/>
    <col min="8" max="8" width="61.90625" style="8" bestFit="1" customWidth="1"/>
    <col min="9" max="9" width="63.7265625" style="8" bestFit="1" customWidth="1"/>
    <col min="10" max="10" width="61.26953125" style="8" bestFit="1" customWidth="1"/>
    <col min="11" max="11" width="43.08984375" style="8" bestFit="1" customWidth="1"/>
    <col min="12" max="12" width="59.1796875" style="8" bestFit="1" customWidth="1"/>
    <col min="13" max="13" width="77.36328125" style="8" bestFit="1" customWidth="1"/>
    <col min="14" max="14" width="46.7265625" style="8" bestFit="1" customWidth="1"/>
    <col min="15" max="15" width="56.1796875" style="8" bestFit="1" customWidth="1"/>
    <col min="16" max="16" width="68.90625" style="8" bestFit="1" customWidth="1"/>
    <col min="17" max="16384" width="8.7265625" style="8"/>
  </cols>
  <sheetData>
    <row r="2" spans="3:16" ht="92.5" customHeight="1" x14ac:dyDescent="1.65">
      <c r="C2" s="17" t="s">
        <v>95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6"/>
    </row>
    <row r="3" spans="3:16" ht="92.5" customHeight="1" x14ac:dyDescent="1.65">
      <c r="C3" s="1" t="s">
        <v>0</v>
      </c>
      <c r="D3" s="3" t="s">
        <v>37</v>
      </c>
      <c r="E3" s="3" t="s">
        <v>38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46</v>
      </c>
      <c r="K3" s="3" t="s">
        <v>40</v>
      </c>
      <c r="L3" s="9" t="s">
        <v>6</v>
      </c>
      <c r="M3" s="9" t="s">
        <v>41</v>
      </c>
      <c r="N3" s="3" t="s">
        <v>42</v>
      </c>
      <c r="O3" s="3" t="s">
        <v>5</v>
      </c>
      <c r="P3" s="7" t="s">
        <v>44</v>
      </c>
    </row>
    <row r="4" spans="3:16" ht="92.5" customHeight="1" x14ac:dyDescent="1.65">
      <c r="C4" s="1" t="s">
        <v>77</v>
      </c>
      <c r="D4" s="1" t="s">
        <v>7</v>
      </c>
      <c r="E4" s="1" t="s">
        <v>8</v>
      </c>
      <c r="F4" s="4"/>
      <c r="G4" s="4"/>
      <c r="H4" s="4"/>
      <c r="I4" s="4"/>
      <c r="J4" s="4"/>
      <c r="K4" s="15"/>
      <c r="L4" s="4"/>
      <c r="M4" s="4"/>
      <c r="N4" s="10"/>
      <c r="O4" s="4"/>
      <c r="P4" s="4"/>
    </row>
    <row r="5" spans="3:16" ht="92.5" customHeight="1" x14ac:dyDescent="1.65">
      <c r="C5" s="1" t="s">
        <v>78</v>
      </c>
      <c r="D5" s="1" t="s">
        <v>31</v>
      </c>
      <c r="E5" s="1" t="s">
        <v>26</v>
      </c>
      <c r="F5" s="4"/>
      <c r="G5" s="4"/>
      <c r="H5" s="4"/>
      <c r="I5" s="4"/>
      <c r="J5" s="4"/>
      <c r="K5" s="15"/>
      <c r="L5" s="4"/>
      <c r="M5" s="4"/>
      <c r="N5" s="10"/>
      <c r="O5" s="4"/>
      <c r="P5" s="4"/>
    </row>
    <row r="6" spans="3:16" ht="92.5" customHeight="1" x14ac:dyDescent="1.65">
      <c r="C6" s="1" t="s">
        <v>79</v>
      </c>
      <c r="D6" s="1" t="s">
        <v>10</v>
      </c>
      <c r="E6" s="1" t="s">
        <v>11</v>
      </c>
      <c r="F6" s="4"/>
      <c r="G6" s="4"/>
      <c r="H6" s="4"/>
      <c r="I6" s="4"/>
      <c r="J6" s="4"/>
      <c r="K6" s="15"/>
      <c r="L6" s="4"/>
      <c r="M6" s="4"/>
      <c r="N6" s="10"/>
      <c r="O6" s="4"/>
      <c r="P6" s="4"/>
    </row>
    <row r="7" spans="3:16" ht="92.5" customHeight="1" x14ac:dyDescent="1.65">
      <c r="C7" s="1" t="s">
        <v>80</v>
      </c>
      <c r="D7" s="1" t="s">
        <v>32</v>
      </c>
      <c r="E7" s="1" t="s">
        <v>9</v>
      </c>
      <c r="F7" s="4"/>
      <c r="G7" s="4"/>
      <c r="H7" s="4"/>
      <c r="I7" s="4"/>
      <c r="J7" s="4"/>
      <c r="K7" s="15"/>
      <c r="L7" s="4"/>
      <c r="M7" s="4"/>
      <c r="N7" s="10"/>
      <c r="O7" s="4"/>
      <c r="P7" s="4"/>
    </row>
    <row r="8" spans="3:16" ht="92.5" customHeight="1" x14ac:dyDescent="1.65">
      <c r="C8" s="1" t="s">
        <v>81</v>
      </c>
      <c r="D8" s="1" t="s">
        <v>13</v>
      </c>
      <c r="E8" s="1" t="s">
        <v>14</v>
      </c>
      <c r="F8" s="4"/>
      <c r="G8" s="4"/>
      <c r="H8" s="4"/>
      <c r="I8" s="4"/>
      <c r="J8" s="4"/>
      <c r="K8" s="15"/>
      <c r="L8" s="4"/>
      <c r="M8" s="4"/>
      <c r="N8" s="10"/>
      <c r="O8" s="4"/>
      <c r="P8" s="4"/>
    </row>
    <row r="9" spans="3:16" ht="92.5" customHeight="1" x14ac:dyDescent="1.65">
      <c r="C9" s="1" t="s">
        <v>82</v>
      </c>
      <c r="D9" s="1" t="s">
        <v>15</v>
      </c>
      <c r="E9" s="1" t="s">
        <v>33</v>
      </c>
      <c r="F9" s="4"/>
      <c r="G9" s="4"/>
      <c r="H9" s="4"/>
      <c r="I9" s="4"/>
      <c r="J9" s="4"/>
      <c r="K9" s="15"/>
      <c r="L9" s="4"/>
      <c r="M9" s="4"/>
      <c r="N9" s="10"/>
      <c r="O9" s="4"/>
      <c r="P9" s="4"/>
    </row>
    <row r="10" spans="3:16" ht="92.5" customHeight="1" x14ac:dyDescent="1.65">
      <c r="C10" s="1" t="s">
        <v>83</v>
      </c>
      <c r="D10" s="1" t="s">
        <v>16</v>
      </c>
      <c r="E10" s="1" t="s">
        <v>17</v>
      </c>
      <c r="F10" s="4"/>
      <c r="G10" s="4"/>
      <c r="H10" s="4"/>
      <c r="I10" s="11"/>
      <c r="J10" s="4"/>
      <c r="K10" s="15"/>
      <c r="L10" s="4"/>
      <c r="M10" s="4"/>
      <c r="N10" s="10"/>
      <c r="O10" s="4"/>
      <c r="P10" s="4"/>
    </row>
    <row r="11" spans="3:16" ht="92.5" customHeight="1" x14ac:dyDescent="1.65">
      <c r="C11" s="1" t="s">
        <v>84</v>
      </c>
      <c r="D11" s="1" t="s">
        <v>18</v>
      </c>
      <c r="E11" s="1" t="s">
        <v>28</v>
      </c>
      <c r="F11" s="10"/>
      <c r="G11" s="10"/>
      <c r="H11" s="11"/>
      <c r="I11" s="4"/>
      <c r="J11" s="4"/>
      <c r="K11" s="15"/>
      <c r="L11" s="4"/>
      <c r="M11" s="4"/>
      <c r="N11" s="10"/>
      <c r="O11" s="4"/>
      <c r="P11" s="4"/>
    </row>
    <row r="12" spans="3:16" ht="92.5" customHeight="1" x14ac:dyDescent="1.65">
      <c r="C12" s="1" t="s">
        <v>85</v>
      </c>
      <c r="D12" s="1" t="s">
        <v>19</v>
      </c>
      <c r="E12" s="1" t="s">
        <v>20</v>
      </c>
      <c r="F12" s="4"/>
      <c r="G12" s="4"/>
      <c r="H12" s="11"/>
      <c r="I12" s="11"/>
      <c r="J12" s="4"/>
      <c r="K12" s="15"/>
      <c r="L12" s="4"/>
      <c r="M12" s="4"/>
      <c r="N12" s="4"/>
      <c r="O12" s="4"/>
      <c r="P12" s="4"/>
    </row>
    <row r="13" spans="3:16" ht="92.5" customHeight="1" x14ac:dyDescent="1.65">
      <c r="C13" s="1" t="s">
        <v>86</v>
      </c>
      <c r="D13" s="1" t="s">
        <v>21</v>
      </c>
      <c r="E13" s="1" t="s">
        <v>34</v>
      </c>
      <c r="F13" s="4"/>
      <c r="G13" s="4"/>
      <c r="H13" s="11"/>
      <c r="I13" s="11"/>
      <c r="J13" s="4"/>
      <c r="K13" s="15"/>
      <c r="L13" s="4"/>
      <c r="M13" s="4"/>
      <c r="N13" s="4"/>
      <c r="O13" s="4"/>
      <c r="P13" s="4"/>
    </row>
    <row r="14" spans="3:16" ht="92.5" customHeight="1" x14ac:dyDescent="1.65">
      <c r="C14" s="1" t="s">
        <v>87</v>
      </c>
      <c r="D14" s="1" t="s">
        <v>22</v>
      </c>
      <c r="E14" s="1" t="s">
        <v>23</v>
      </c>
      <c r="F14" s="4"/>
      <c r="G14" s="4"/>
      <c r="H14" s="11"/>
      <c r="I14" s="11"/>
      <c r="J14" s="4"/>
      <c r="K14" s="15"/>
      <c r="L14" s="4"/>
      <c r="M14" s="4"/>
      <c r="N14" s="4"/>
      <c r="O14" s="4"/>
      <c r="P14" s="14"/>
    </row>
    <row r="15" spans="3:16" ht="92.5" customHeight="1" x14ac:dyDescent="1.65">
      <c r="C15" s="1" t="s">
        <v>88</v>
      </c>
      <c r="D15" s="1" t="s">
        <v>24</v>
      </c>
      <c r="E15" s="1" t="s">
        <v>25</v>
      </c>
      <c r="F15" s="4"/>
      <c r="G15" s="4"/>
      <c r="H15" s="11"/>
      <c r="I15" s="11"/>
      <c r="J15" s="4"/>
      <c r="K15" s="15"/>
      <c r="L15" s="4"/>
      <c r="M15" s="4"/>
      <c r="N15" s="4"/>
      <c r="O15" s="4"/>
      <c r="P15" s="4"/>
    </row>
    <row r="16" spans="3:16" ht="92.5" customHeight="1" x14ac:dyDescent="1.65">
      <c r="C16" s="1" t="s">
        <v>89</v>
      </c>
      <c r="D16" s="1" t="s">
        <v>43</v>
      </c>
      <c r="E16" s="1" t="s">
        <v>35</v>
      </c>
      <c r="F16" s="4"/>
      <c r="G16" s="4"/>
      <c r="H16" s="11"/>
      <c r="I16" s="11"/>
      <c r="J16" s="4"/>
      <c r="K16" s="15"/>
      <c r="L16" s="4"/>
      <c r="M16" s="4"/>
      <c r="N16" s="4"/>
      <c r="O16" s="4"/>
      <c r="P16" s="4"/>
    </row>
    <row r="17" spans="3:16" ht="92.5" customHeight="1" x14ac:dyDescent="1.65">
      <c r="C17" s="1" t="s">
        <v>90</v>
      </c>
      <c r="D17" s="1" t="s">
        <v>30</v>
      </c>
      <c r="E17" s="1" t="s">
        <v>27</v>
      </c>
      <c r="F17" s="4"/>
      <c r="G17" s="4"/>
      <c r="H17" s="11"/>
      <c r="I17" s="11"/>
      <c r="J17" s="4"/>
      <c r="K17" s="15"/>
      <c r="L17" s="4"/>
      <c r="M17" s="4"/>
      <c r="N17" s="4"/>
      <c r="O17" s="4"/>
      <c r="P17" s="4"/>
    </row>
    <row r="18" spans="3:16" ht="92.5" customHeight="1" x14ac:dyDescent="1.65">
      <c r="C18" s="1" t="s">
        <v>91</v>
      </c>
      <c r="D18" s="1" t="s">
        <v>36</v>
      </c>
      <c r="E18" s="1" t="s">
        <v>12</v>
      </c>
      <c r="F18" s="4"/>
      <c r="G18" s="4"/>
      <c r="H18" s="11"/>
      <c r="I18" s="11"/>
      <c r="J18" s="4"/>
      <c r="K18" s="15"/>
      <c r="L18" s="4"/>
      <c r="M18" s="4"/>
      <c r="N18" s="4"/>
      <c r="O18" s="4"/>
      <c r="P18" s="4"/>
    </row>
    <row r="19" spans="3:16" ht="92.5" customHeight="1" x14ac:dyDescent="1.65">
      <c r="C19" s="21" t="s">
        <v>29</v>
      </c>
      <c r="D19" s="21"/>
      <c r="E19" s="21"/>
      <c r="F19" s="5">
        <f>SUM(F4:F18)</f>
        <v>0</v>
      </c>
      <c r="G19" s="5">
        <f t="shared" ref="G19:J19" si="0">SUM(G4:G18)</f>
        <v>0</v>
      </c>
      <c r="H19" s="5">
        <f t="shared" si="0"/>
        <v>0</v>
      </c>
      <c r="I19" s="5">
        <f t="shared" si="0"/>
        <v>0</v>
      </c>
      <c r="J19" s="5">
        <f t="shared" si="0"/>
        <v>0</v>
      </c>
      <c r="K19" s="16">
        <v>0.7</v>
      </c>
      <c r="L19" s="5">
        <f>SUM(L4:L18)</f>
        <v>0</v>
      </c>
      <c r="M19" s="5">
        <f t="shared" ref="M19" si="1">SUM(M4:M18)</f>
        <v>0</v>
      </c>
      <c r="N19" s="5">
        <f>SUM(N4:N18)</f>
        <v>0</v>
      </c>
      <c r="O19" s="5">
        <f t="shared" ref="O19:P19" si="2">SUM(O4:O18)</f>
        <v>0</v>
      </c>
      <c r="P19" s="5">
        <f t="shared" si="2"/>
        <v>0</v>
      </c>
    </row>
  </sheetData>
  <protectedRanges>
    <protectedRange sqref="I10 I12:I18" name="entry area_1_2"/>
  </protectedRanges>
  <mergeCells count="1">
    <mergeCell ref="C19:E19"/>
  </mergeCells>
  <dataValidations count="1">
    <dataValidation type="whole" allowBlank="1" showInputMessage="1" showErrorMessage="1" sqref="I12:I18 I10" xr:uid="{EF806EA8-F1EE-4096-9120-40352DDCF4FB}">
      <formula1>0</formula1>
      <formula2>500000</formula2>
    </dataValidation>
  </dataValidations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A788-E962-47F1-B132-14A36332430E}">
  <sheetPr>
    <pageSetUpPr fitToPage="1"/>
  </sheetPr>
  <dimension ref="C2:P19"/>
  <sheetViews>
    <sheetView rightToLeft="1" zoomScale="30" zoomScaleNormal="30" workbookViewId="0">
      <selection activeCell="H7" sqref="H7:P7"/>
    </sheetView>
  </sheetViews>
  <sheetFormatPr defaultColWidth="8.7265625" defaultRowHeight="92.5" customHeight="1" x14ac:dyDescent="1.65"/>
  <cols>
    <col min="1" max="1" width="8.7265625" style="8"/>
    <col min="2" max="2" width="8.7265625" style="8" customWidth="1"/>
    <col min="3" max="3" width="55.81640625" style="8" bestFit="1" customWidth="1"/>
    <col min="4" max="4" width="59.81640625" style="8" bestFit="1" customWidth="1"/>
    <col min="5" max="5" width="38.54296875" style="8" bestFit="1" customWidth="1"/>
    <col min="6" max="6" width="46.1796875" style="8" bestFit="1" customWidth="1"/>
    <col min="7" max="7" width="46.453125" style="8" bestFit="1" customWidth="1"/>
    <col min="8" max="8" width="61.90625" style="8" bestFit="1" customWidth="1"/>
    <col min="9" max="9" width="63.7265625" style="8" bestFit="1" customWidth="1"/>
    <col min="10" max="10" width="61.26953125" style="8" bestFit="1" customWidth="1"/>
    <col min="11" max="11" width="43.08984375" style="8" bestFit="1" customWidth="1"/>
    <col min="12" max="12" width="59.1796875" style="8" bestFit="1" customWidth="1"/>
    <col min="13" max="13" width="77.36328125" style="8" bestFit="1" customWidth="1"/>
    <col min="14" max="14" width="46.7265625" style="8" bestFit="1" customWidth="1"/>
    <col min="15" max="15" width="56.1796875" style="8" bestFit="1" customWidth="1"/>
    <col min="16" max="16" width="68.90625" style="8" bestFit="1" customWidth="1"/>
    <col min="17" max="16384" width="8.7265625" style="8"/>
  </cols>
  <sheetData>
    <row r="2" spans="3:16" ht="92.5" customHeight="1" x14ac:dyDescent="1.65">
      <c r="C2" s="17" t="s">
        <v>94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6"/>
    </row>
    <row r="3" spans="3:16" ht="92.5" customHeight="1" x14ac:dyDescent="1.65">
      <c r="C3" s="1" t="s">
        <v>0</v>
      </c>
      <c r="D3" s="3" t="s">
        <v>37</v>
      </c>
      <c r="E3" s="3" t="s">
        <v>38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46</v>
      </c>
      <c r="K3" s="3" t="s">
        <v>40</v>
      </c>
      <c r="L3" s="9" t="s">
        <v>6</v>
      </c>
      <c r="M3" s="9" t="s">
        <v>41</v>
      </c>
      <c r="N3" s="3" t="s">
        <v>42</v>
      </c>
      <c r="O3" s="3" t="s">
        <v>5</v>
      </c>
      <c r="P3" s="7" t="s">
        <v>44</v>
      </c>
    </row>
    <row r="4" spans="3:16" ht="92.5" customHeight="1" x14ac:dyDescent="1.65">
      <c r="C4" s="1" t="s">
        <v>77</v>
      </c>
      <c r="D4" s="1" t="s">
        <v>7</v>
      </c>
      <c r="E4" s="1" t="s">
        <v>8</v>
      </c>
      <c r="F4" s="4"/>
      <c r="G4" s="4"/>
      <c r="H4" s="4"/>
      <c r="I4" s="4"/>
      <c r="J4" s="4"/>
      <c r="K4" s="15"/>
      <c r="L4" s="4"/>
      <c r="M4" s="4"/>
      <c r="N4" s="10"/>
      <c r="O4" s="4"/>
      <c r="P4" s="4"/>
    </row>
    <row r="5" spans="3:16" ht="92.5" customHeight="1" x14ac:dyDescent="1.65">
      <c r="C5" s="1" t="s">
        <v>78</v>
      </c>
      <c r="D5" s="1" t="s">
        <v>31</v>
      </c>
      <c r="E5" s="1" t="s">
        <v>26</v>
      </c>
      <c r="F5" s="4"/>
      <c r="G5" s="4"/>
      <c r="H5" s="4"/>
      <c r="I5" s="4"/>
      <c r="J5" s="4"/>
      <c r="K5" s="15"/>
      <c r="L5" s="4"/>
      <c r="M5" s="4"/>
      <c r="N5" s="10"/>
      <c r="O5" s="4"/>
      <c r="P5" s="4"/>
    </row>
    <row r="6" spans="3:16" ht="92.5" customHeight="1" x14ac:dyDescent="1.65">
      <c r="C6" s="1" t="s">
        <v>79</v>
      </c>
      <c r="D6" s="1" t="s">
        <v>10</v>
      </c>
      <c r="E6" s="1" t="s">
        <v>11</v>
      </c>
      <c r="F6" s="4"/>
      <c r="G6" s="4"/>
      <c r="H6" s="4"/>
      <c r="I6" s="4"/>
      <c r="J6" s="4"/>
      <c r="K6" s="15"/>
      <c r="L6" s="4"/>
      <c r="M6" s="4"/>
      <c r="N6" s="10"/>
      <c r="O6" s="4"/>
      <c r="P6" s="4"/>
    </row>
    <row r="7" spans="3:16" ht="92.5" customHeight="1" x14ac:dyDescent="1.65">
      <c r="C7" s="1" t="s">
        <v>80</v>
      </c>
      <c r="D7" s="1" t="s">
        <v>32</v>
      </c>
      <c r="E7" s="1" t="s">
        <v>9</v>
      </c>
      <c r="F7" s="4"/>
      <c r="G7" s="4"/>
      <c r="H7" s="4"/>
      <c r="I7" s="4"/>
      <c r="J7" s="4"/>
      <c r="K7" s="15"/>
      <c r="L7" s="4"/>
      <c r="M7" s="4"/>
      <c r="N7" s="10"/>
      <c r="O7" s="4"/>
      <c r="P7" s="4"/>
    </row>
    <row r="8" spans="3:16" ht="92.5" customHeight="1" x14ac:dyDescent="1.65">
      <c r="C8" s="1" t="s">
        <v>81</v>
      </c>
      <c r="D8" s="1" t="s">
        <v>13</v>
      </c>
      <c r="E8" s="1" t="s">
        <v>14</v>
      </c>
      <c r="F8" s="4"/>
      <c r="G8" s="4"/>
      <c r="H8" s="4"/>
      <c r="I8" s="4"/>
      <c r="J8" s="4"/>
      <c r="K8" s="15"/>
      <c r="L8" s="4"/>
      <c r="M8" s="4"/>
      <c r="N8" s="10"/>
      <c r="O8" s="4"/>
      <c r="P8" s="4"/>
    </row>
    <row r="9" spans="3:16" ht="92.5" customHeight="1" x14ac:dyDescent="1.65">
      <c r="C9" s="1" t="s">
        <v>82</v>
      </c>
      <c r="D9" s="1" t="s">
        <v>15</v>
      </c>
      <c r="E9" s="1" t="s">
        <v>33</v>
      </c>
      <c r="F9" s="4"/>
      <c r="G9" s="4"/>
      <c r="H9" s="4"/>
      <c r="I9" s="4"/>
      <c r="J9" s="4"/>
      <c r="K9" s="15"/>
      <c r="L9" s="4"/>
      <c r="M9" s="4"/>
      <c r="N9" s="10"/>
      <c r="O9" s="4"/>
      <c r="P9" s="4"/>
    </row>
    <row r="10" spans="3:16" ht="92.5" customHeight="1" x14ac:dyDescent="1.65">
      <c r="C10" s="1" t="s">
        <v>83</v>
      </c>
      <c r="D10" s="1" t="s">
        <v>16</v>
      </c>
      <c r="E10" s="1" t="s">
        <v>17</v>
      </c>
      <c r="F10" s="4"/>
      <c r="G10" s="4"/>
      <c r="H10" s="4"/>
      <c r="I10" s="11"/>
      <c r="J10" s="4"/>
      <c r="K10" s="15"/>
      <c r="L10" s="4"/>
      <c r="M10" s="4"/>
      <c r="N10" s="10"/>
      <c r="O10" s="4"/>
      <c r="P10" s="4"/>
    </row>
    <row r="11" spans="3:16" ht="92.5" customHeight="1" x14ac:dyDescent="1.65">
      <c r="C11" s="1" t="s">
        <v>84</v>
      </c>
      <c r="D11" s="1" t="s">
        <v>18</v>
      </c>
      <c r="E11" s="1" t="s">
        <v>28</v>
      </c>
      <c r="F11" s="10"/>
      <c r="G11" s="10"/>
      <c r="H11" s="11"/>
      <c r="I11" s="4"/>
      <c r="J11" s="4"/>
      <c r="K11" s="15"/>
      <c r="L11" s="4"/>
      <c r="M11" s="4"/>
      <c r="N11" s="10"/>
      <c r="O11" s="4"/>
      <c r="P11" s="4"/>
    </row>
    <row r="12" spans="3:16" ht="92.5" customHeight="1" x14ac:dyDescent="1.65">
      <c r="C12" s="1" t="s">
        <v>85</v>
      </c>
      <c r="D12" s="1" t="s">
        <v>19</v>
      </c>
      <c r="E12" s="1" t="s">
        <v>20</v>
      </c>
      <c r="F12" s="4"/>
      <c r="G12" s="4"/>
      <c r="H12" s="11"/>
      <c r="I12" s="11"/>
      <c r="J12" s="4"/>
      <c r="K12" s="15"/>
      <c r="L12" s="4"/>
      <c r="M12" s="4"/>
      <c r="N12" s="4"/>
      <c r="O12" s="4"/>
      <c r="P12" s="4"/>
    </row>
    <row r="13" spans="3:16" ht="92.5" customHeight="1" x14ac:dyDescent="1.65">
      <c r="C13" s="1" t="s">
        <v>86</v>
      </c>
      <c r="D13" s="1" t="s">
        <v>21</v>
      </c>
      <c r="E13" s="1" t="s">
        <v>34</v>
      </c>
      <c r="F13" s="4"/>
      <c r="G13" s="4"/>
      <c r="H13" s="11"/>
      <c r="I13" s="11"/>
      <c r="J13" s="4"/>
      <c r="K13" s="15"/>
      <c r="L13" s="4"/>
      <c r="M13" s="4"/>
      <c r="N13" s="4"/>
      <c r="O13" s="4"/>
      <c r="P13" s="4"/>
    </row>
    <row r="14" spans="3:16" ht="92.5" customHeight="1" x14ac:dyDescent="1.65">
      <c r="C14" s="1" t="s">
        <v>87</v>
      </c>
      <c r="D14" s="1" t="s">
        <v>22</v>
      </c>
      <c r="E14" s="1" t="s">
        <v>23</v>
      </c>
      <c r="F14" s="4"/>
      <c r="G14" s="4"/>
      <c r="H14" s="11"/>
      <c r="I14" s="11"/>
      <c r="J14" s="4"/>
      <c r="K14" s="15"/>
      <c r="L14" s="4"/>
      <c r="M14" s="4"/>
      <c r="N14" s="4"/>
      <c r="O14" s="4"/>
      <c r="P14" s="14"/>
    </row>
    <row r="15" spans="3:16" ht="92.5" customHeight="1" x14ac:dyDescent="1.65">
      <c r="C15" s="1" t="s">
        <v>88</v>
      </c>
      <c r="D15" s="1" t="s">
        <v>24</v>
      </c>
      <c r="E15" s="1" t="s">
        <v>25</v>
      </c>
      <c r="F15" s="4"/>
      <c r="G15" s="4"/>
      <c r="H15" s="11"/>
      <c r="I15" s="11"/>
      <c r="J15" s="4"/>
      <c r="K15" s="15"/>
      <c r="L15" s="4"/>
      <c r="M15" s="4"/>
      <c r="N15" s="4"/>
      <c r="O15" s="4"/>
      <c r="P15" s="4"/>
    </row>
    <row r="16" spans="3:16" ht="92.5" customHeight="1" x14ac:dyDescent="1.65">
      <c r="C16" s="1" t="s">
        <v>89</v>
      </c>
      <c r="D16" s="1" t="s">
        <v>43</v>
      </c>
      <c r="E16" s="1" t="s">
        <v>35</v>
      </c>
      <c r="F16" s="4"/>
      <c r="G16" s="4"/>
      <c r="H16" s="11"/>
      <c r="I16" s="11"/>
      <c r="J16" s="4"/>
      <c r="K16" s="15"/>
      <c r="L16" s="4"/>
      <c r="M16" s="4"/>
      <c r="N16" s="4"/>
      <c r="O16" s="4"/>
      <c r="P16" s="4"/>
    </row>
    <row r="17" spans="3:16" ht="92.5" customHeight="1" x14ac:dyDescent="1.65">
      <c r="C17" s="1" t="s">
        <v>90</v>
      </c>
      <c r="D17" s="1" t="s">
        <v>30</v>
      </c>
      <c r="E17" s="1" t="s">
        <v>27</v>
      </c>
      <c r="F17" s="4"/>
      <c r="G17" s="4"/>
      <c r="H17" s="11"/>
      <c r="I17" s="11"/>
      <c r="J17" s="4"/>
      <c r="K17" s="15"/>
      <c r="L17" s="4"/>
      <c r="M17" s="4"/>
      <c r="N17" s="4"/>
      <c r="O17" s="4"/>
      <c r="P17" s="4"/>
    </row>
    <row r="18" spans="3:16" ht="92.5" customHeight="1" x14ac:dyDescent="1.65">
      <c r="C18" s="1" t="s">
        <v>91</v>
      </c>
      <c r="D18" s="1" t="s">
        <v>36</v>
      </c>
      <c r="E18" s="1" t="s">
        <v>12</v>
      </c>
      <c r="F18" s="4"/>
      <c r="G18" s="4"/>
      <c r="H18" s="11"/>
      <c r="I18" s="11"/>
      <c r="J18" s="4"/>
      <c r="K18" s="15"/>
      <c r="L18" s="4"/>
      <c r="M18" s="4"/>
      <c r="N18" s="4"/>
      <c r="O18" s="4"/>
      <c r="P18" s="4"/>
    </row>
    <row r="19" spans="3:16" ht="92.5" customHeight="1" x14ac:dyDescent="1.65">
      <c r="C19" s="21" t="s">
        <v>29</v>
      </c>
      <c r="D19" s="21"/>
      <c r="E19" s="21"/>
      <c r="F19" s="5">
        <f>SUM(F4:F18)</f>
        <v>0</v>
      </c>
      <c r="G19" s="5">
        <f t="shared" ref="G19:J19" si="0">SUM(G4:G18)</f>
        <v>0</v>
      </c>
      <c r="H19" s="5">
        <f t="shared" si="0"/>
        <v>0</v>
      </c>
      <c r="I19" s="5">
        <f t="shared" si="0"/>
        <v>0</v>
      </c>
      <c r="J19" s="5">
        <f t="shared" si="0"/>
        <v>0</v>
      </c>
      <c r="K19" s="16">
        <v>0.7</v>
      </c>
      <c r="L19" s="5">
        <f>SUM(L4:L18)</f>
        <v>0</v>
      </c>
      <c r="M19" s="5">
        <f t="shared" ref="M19" si="1">SUM(M4:M18)</f>
        <v>0</v>
      </c>
      <c r="N19" s="5">
        <f>SUM(N4:N18)</f>
        <v>0</v>
      </c>
      <c r="O19" s="5">
        <f t="shared" ref="O19:P19" si="2">SUM(O4:O18)</f>
        <v>0</v>
      </c>
      <c r="P19" s="5">
        <f t="shared" si="2"/>
        <v>0</v>
      </c>
    </row>
  </sheetData>
  <protectedRanges>
    <protectedRange sqref="I10 I12:I18" name="entry area_1_2"/>
  </protectedRanges>
  <mergeCells count="1">
    <mergeCell ref="C19:E19"/>
  </mergeCells>
  <dataValidations count="1">
    <dataValidation type="whole" allowBlank="1" showInputMessage="1" showErrorMessage="1" sqref="I12:I18 I10" xr:uid="{E585C5F8-03A0-440E-8B72-7CED7E97AEEA}">
      <formula1>0</formula1>
      <formula2>500000</formula2>
    </dataValidation>
  </dataValidations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00D2-B9A7-438F-B70A-B1A93B52E8C6}">
  <sheetPr>
    <tabColor rgb="FF546E7A"/>
  </sheetPr>
  <dimension ref="A1:O241"/>
  <sheetViews>
    <sheetView workbookViewId="0"/>
  </sheetViews>
  <sheetFormatPr defaultRowHeight="14.5" x14ac:dyDescent="0.35"/>
  <sheetData>
    <row r="1" spans="1:15" x14ac:dyDescent="0.35">
      <c r="A1" s="18" t="s">
        <v>58</v>
      </c>
      <c r="B1" s="18" t="s">
        <v>56</v>
      </c>
      <c r="C1" s="18" t="s">
        <v>72</v>
      </c>
      <c r="D1" s="18" t="s">
        <v>73</v>
      </c>
      <c r="E1" s="18" t="s">
        <v>64</v>
      </c>
      <c r="F1" s="18" t="s">
        <v>65</v>
      </c>
      <c r="G1" s="18" t="s">
        <v>40</v>
      </c>
      <c r="H1" s="18" t="s">
        <v>66</v>
      </c>
      <c r="I1" s="18" t="s">
        <v>67</v>
      </c>
      <c r="J1" s="18" t="s">
        <v>68</v>
      </c>
      <c r="K1" s="18" t="s">
        <v>69</v>
      </c>
      <c r="L1" s="18" t="s">
        <v>70</v>
      </c>
      <c r="M1" s="18" t="s">
        <v>55</v>
      </c>
      <c r="N1" s="18" t="s">
        <v>108</v>
      </c>
      <c r="O1" s="18" t="s">
        <v>108</v>
      </c>
    </row>
    <row r="2" spans="1:15" x14ac:dyDescent="0.35">
      <c r="A2" t="s">
        <v>74</v>
      </c>
      <c r="B2" t="s">
        <v>77</v>
      </c>
      <c r="C2">
        <v>43</v>
      </c>
      <c r="D2">
        <v>16</v>
      </c>
      <c r="E2">
        <v>36</v>
      </c>
      <c r="F2">
        <v>17</v>
      </c>
      <c r="G2">
        <v>0.56000000000000005</v>
      </c>
      <c r="H2">
        <v>10</v>
      </c>
      <c r="I2">
        <v>6</v>
      </c>
      <c r="J2">
        <v>16</v>
      </c>
      <c r="K2">
        <v>17</v>
      </c>
      <c r="L2">
        <v>15</v>
      </c>
      <c r="M2">
        <v>0</v>
      </c>
      <c r="N2" t="s">
        <v>71</v>
      </c>
      <c r="O2">
        <v>0</v>
      </c>
    </row>
    <row r="3" spans="1:15" x14ac:dyDescent="0.35">
      <c r="A3" t="s">
        <v>74</v>
      </c>
      <c r="B3" t="s">
        <v>78</v>
      </c>
      <c r="C3">
        <v>134</v>
      </c>
      <c r="D3">
        <v>50</v>
      </c>
      <c r="E3">
        <v>138</v>
      </c>
      <c r="F3">
        <v>85</v>
      </c>
      <c r="G3">
        <v>0.72</v>
      </c>
      <c r="H3">
        <v>30</v>
      </c>
      <c r="I3">
        <v>9</v>
      </c>
      <c r="J3">
        <v>39</v>
      </c>
      <c r="K3">
        <v>48</v>
      </c>
      <c r="L3">
        <v>54</v>
      </c>
      <c r="M3">
        <v>5</v>
      </c>
      <c r="N3" t="s">
        <v>74</v>
      </c>
      <c r="O3">
        <v>10</v>
      </c>
    </row>
    <row r="4" spans="1:15" x14ac:dyDescent="0.35">
      <c r="A4" t="s">
        <v>74</v>
      </c>
      <c r="B4" t="s">
        <v>79</v>
      </c>
      <c r="C4">
        <v>36</v>
      </c>
      <c r="D4">
        <v>22</v>
      </c>
      <c r="E4">
        <v>74</v>
      </c>
      <c r="F4">
        <v>57</v>
      </c>
      <c r="G4">
        <v>0.78</v>
      </c>
      <c r="H4">
        <v>3</v>
      </c>
      <c r="I4">
        <v>13</v>
      </c>
      <c r="J4">
        <v>16</v>
      </c>
      <c r="K4">
        <v>6</v>
      </c>
      <c r="L4">
        <v>34</v>
      </c>
      <c r="M4">
        <v>3</v>
      </c>
      <c r="N4" t="s">
        <v>75</v>
      </c>
      <c r="O4">
        <v>5</v>
      </c>
    </row>
    <row r="5" spans="1:15" x14ac:dyDescent="0.35">
      <c r="A5" t="s">
        <v>74</v>
      </c>
      <c r="B5" t="s">
        <v>80</v>
      </c>
      <c r="C5">
        <v>105</v>
      </c>
      <c r="D5">
        <v>59</v>
      </c>
      <c r="E5">
        <v>158</v>
      </c>
      <c r="F5">
        <v>103</v>
      </c>
      <c r="G5">
        <v>0.75</v>
      </c>
      <c r="H5">
        <v>39</v>
      </c>
      <c r="I5">
        <v>0</v>
      </c>
      <c r="J5">
        <v>39</v>
      </c>
      <c r="K5">
        <v>26</v>
      </c>
      <c r="L5">
        <v>60</v>
      </c>
      <c r="M5">
        <v>0</v>
      </c>
      <c r="N5" t="s">
        <v>76</v>
      </c>
      <c r="O5">
        <v>5</v>
      </c>
    </row>
    <row r="6" spans="1:15" x14ac:dyDescent="0.35">
      <c r="A6" t="s">
        <v>74</v>
      </c>
      <c r="B6" t="s">
        <v>81</v>
      </c>
      <c r="C6">
        <v>116</v>
      </c>
      <c r="D6">
        <v>53</v>
      </c>
      <c r="E6">
        <v>162</v>
      </c>
      <c r="F6">
        <v>90</v>
      </c>
      <c r="G6">
        <v>0.71</v>
      </c>
      <c r="H6">
        <v>41</v>
      </c>
      <c r="I6">
        <v>6</v>
      </c>
      <c r="J6">
        <v>47</v>
      </c>
      <c r="K6">
        <v>61</v>
      </c>
      <c r="L6">
        <v>54</v>
      </c>
      <c r="M6">
        <v>3</v>
      </c>
      <c r="N6" t="s">
        <v>59</v>
      </c>
      <c r="O6">
        <v>9</v>
      </c>
    </row>
    <row r="7" spans="1:15" x14ac:dyDescent="0.35">
      <c r="A7" t="s">
        <v>74</v>
      </c>
      <c r="B7" t="s">
        <v>82</v>
      </c>
      <c r="C7">
        <v>1</v>
      </c>
      <c r="D7">
        <v>12</v>
      </c>
      <c r="E7">
        <v>17</v>
      </c>
      <c r="F7">
        <v>12</v>
      </c>
      <c r="G7">
        <v>1</v>
      </c>
      <c r="H7">
        <v>0</v>
      </c>
      <c r="I7">
        <v>0</v>
      </c>
      <c r="J7">
        <v>0</v>
      </c>
      <c r="K7">
        <v>10</v>
      </c>
      <c r="L7">
        <v>33</v>
      </c>
      <c r="M7">
        <v>0</v>
      </c>
      <c r="N7" t="s">
        <v>60</v>
      </c>
      <c r="O7">
        <v>3</v>
      </c>
    </row>
    <row r="8" spans="1:15" x14ac:dyDescent="0.35">
      <c r="A8" t="s">
        <v>74</v>
      </c>
      <c r="B8" t="s">
        <v>83</v>
      </c>
      <c r="C8">
        <v>70</v>
      </c>
      <c r="D8">
        <v>58</v>
      </c>
      <c r="E8">
        <v>122</v>
      </c>
      <c r="F8">
        <v>90</v>
      </c>
      <c r="G8">
        <v>0.85</v>
      </c>
      <c r="H8">
        <v>18</v>
      </c>
      <c r="I8">
        <v>0</v>
      </c>
      <c r="J8">
        <v>18</v>
      </c>
      <c r="K8">
        <v>47</v>
      </c>
      <c r="L8">
        <v>103</v>
      </c>
      <c r="M8">
        <v>4</v>
      </c>
      <c r="N8" t="s">
        <v>61</v>
      </c>
      <c r="O8">
        <v>25</v>
      </c>
    </row>
    <row r="9" spans="1:15" x14ac:dyDescent="0.35">
      <c r="A9" t="s">
        <v>74</v>
      </c>
      <c r="B9" t="s">
        <v>84</v>
      </c>
      <c r="C9">
        <v>63</v>
      </c>
      <c r="D9">
        <v>29</v>
      </c>
      <c r="E9">
        <v>94</v>
      </c>
      <c r="F9">
        <v>63</v>
      </c>
      <c r="G9">
        <v>0.68</v>
      </c>
      <c r="H9">
        <v>25</v>
      </c>
      <c r="I9">
        <v>5</v>
      </c>
      <c r="J9">
        <v>30</v>
      </c>
      <c r="K9">
        <v>14</v>
      </c>
      <c r="L9">
        <v>42</v>
      </c>
      <c r="M9">
        <v>0</v>
      </c>
      <c r="N9" t="s">
        <v>62</v>
      </c>
      <c r="O9">
        <v>19</v>
      </c>
    </row>
    <row r="10" spans="1:15" x14ac:dyDescent="0.35">
      <c r="A10" t="s">
        <v>74</v>
      </c>
      <c r="B10" t="s">
        <v>85</v>
      </c>
      <c r="C10">
        <v>42</v>
      </c>
      <c r="D10">
        <v>36</v>
      </c>
      <c r="E10">
        <v>55</v>
      </c>
      <c r="F10">
        <v>36</v>
      </c>
      <c r="G10">
        <v>0.69</v>
      </c>
      <c r="H10">
        <v>10</v>
      </c>
      <c r="I10">
        <v>7</v>
      </c>
      <c r="J10">
        <v>17</v>
      </c>
      <c r="K10">
        <v>59</v>
      </c>
      <c r="L10">
        <v>41</v>
      </c>
      <c r="M10">
        <v>1</v>
      </c>
      <c r="N10" t="s">
        <v>63</v>
      </c>
      <c r="O10">
        <v>9</v>
      </c>
    </row>
    <row r="11" spans="1:15" x14ac:dyDescent="0.35">
      <c r="A11" t="s">
        <v>74</v>
      </c>
      <c r="B11" t="s">
        <v>86</v>
      </c>
      <c r="C11">
        <v>64</v>
      </c>
      <c r="D11">
        <v>63</v>
      </c>
      <c r="E11">
        <v>80</v>
      </c>
      <c r="F11">
        <v>66</v>
      </c>
      <c r="G11">
        <v>0.91</v>
      </c>
      <c r="H11">
        <v>7</v>
      </c>
      <c r="I11">
        <v>0</v>
      </c>
      <c r="J11">
        <v>7</v>
      </c>
      <c r="K11">
        <v>43</v>
      </c>
      <c r="L11">
        <v>59</v>
      </c>
      <c r="M11">
        <v>0</v>
      </c>
      <c r="N11" t="s">
        <v>92</v>
      </c>
      <c r="O11">
        <v>63</v>
      </c>
    </row>
    <row r="12" spans="1:15" x14ac:dyDescent="0.35">
      <c r="A12" t="s">
        <v>74</v>
      </c>
      <c r="B12" t="s">
        <v>87</v>
      </c>
      <c r="C12">
        <v>90</v>
      </c>
      <c r="D12">
        <v>37</v>
      </c>
      <c r="E12">
        <v>132</v>
      </c>
      <c r="F12">
        <v>106</v>
      </c>
      <c r="G12">
        <v>0.89</v>
      </c>
      <c r="H12">
        <v>14</v>
      </c>
      <c r="I12">
        <v>0</v>
      </c>
      <c r="J12">
        <v>14</v>
      </c>
      <c r="K12">
        <v>35</v>
      </c>
      <c r="L12">
        <v>57</v>
      </c>
      <c r="M12">
        <v>0</v>
      </c>
      <c r="N12" t="s">
        <v>105</v>
      </c>
      <c r="O12">
        <v>95</v>
      </c>
    </row>
    <row r="13" spans="1:15" x14ac:dyDescent="0.35">
      <c r="A13" t="s">
        <v>74</v>
      </c>
      <c r="B13" t="s">
        <v>88</v>
      </c>
      <c r="C13">
        <v>24</v>
      </c>
      <c r="D13">
        <v>24</v>
      </c>
      <c r="E13">
        <v>69</v>
      </c>
      <c r="F13">
        <v>48</v>
      </c>
      <c r="G13">
        <v>0.84</v>
      </c>
      <c r="H13">
        <v>9</v>
      </c>
      <c r="I13">
        <v>2</v>
      </c>
      <c r="J13">
        <v>11</v>
      </c>
      <c r="K13">
        <v>13</v>
      </c>
      <c r="L13">
        <v>28</v>
      </c>
      <c r="M13">
        <v>0</v>
      </c>
      <c r="N13" t="s">
        <v>106</v>
      </c>
      <c r="O13">
        <v>8</v>
      </c>
    </row>
    <row r="14" spans="1:15" x14ac:dyDescent="0.35">
      <c r="A14" t="s">
        <v>74</v>
      </c>
      <c r="B14" t="s">
        <v>89</v>
      </c>
      <c r="C14">
        <v>54</v>
      </c>
      <c r="D14">
        <v>39</v>
      </c>
      <c r="E14">
        <v>43</v>
      </c>
      <c r="F14">
        <v>25</v>
      </c>
      <c r="G14">
        <v>0.65</v>
      </c>
      <c r="H14">
        <v>15</v>
      </c>
      <c r="I14">
        <v>0</v>
      </c>
      <c r="J14">
        <v>15</v>
      </c>
      <c r="K14">
        <v>17</v>
      </c>
      <c r="L14">
        <v>40</v>
      </c>
      <c r="M14">
        <v>0</v>
      </c>
      <c r="N14" t="s">
        <v>107</v>
      </c>
      <c r="O14">
        <v>9</v>
      </c>
    </row>
    <row r="15" spans="1:15" x14ac:dyDescent="0.35">
      <c r="A15" t="s">
        <v>74</v>
      </c>
      <c r="B15" t="s">
        <v>90</v>
      </c>
      <c r="C15">
        <v>43</v>
      </c>
      <c r="D15">
        <v>16</v>
      </c>
      <c r="E15">
        <v>101</v>
      </c>
      <c r="F15">
        <v>55</v>
      </c>
      <c r="G15">
        <v>0.62</v>
      </c>
      <c r="H15">
        <v>19</v>
      </c>
      <c r="I15">
        <v>19</v>
      </c>
      <c r="J15">
        <v>38</v>
      </c>
      <c r="K15">
        <v>8</v>
      </c>
      <c r="L15">
        <v>42</v>
      </c>
      <c r="M15">
        <v>0</v>
      </c>
      <c r="N15" t="s">
        <v>101</v>
      </c>
      <c r="O15">
        <v>10</v>
      </c>
    </row>
    <row r="16" spans="1:15" x14ac:dyDescent="0.35">
      <c r="A16" t="s">
        <v>74</v>
      </c>
      <c r="B16" t="s">
        <v>91</v>
      </c>
      <c r="C16">
        <v>134</v>
      </c>
      <c r="D16">
        <v>50</v>
      </c>
      <c r="E16">
        <v>23</v>
      </c>
      <c r="F16">
        <v>5</v>
      </c>
      <c r="G16">
        <v>0.26</v>
      </c>
      <c r="H16">
        <v>13</v>
      </c>
      <c r="I16">
        <v>4</v>
      </c>
      <c r="J16">
        <v>17</v>
      </c>
      <c r="K16">
        <v>3</v>
      </c>
      <c r="L16">
        <v>6</v>
      </c>
      <c r="M16">
        <v>2</v>
      </c>
      <c r="N16" t="s">
        <v>102</v>
      </c>
      <c r="O16">
        <v>0</v>
      </c>
    </row>
    <row r="17" spans="1:15" x14ac:dyDescent="0.35">
      <c r="A17" t="s">
        <v>75</v>
      </c>
      <c r="B17" t="s">
        <v>77</v>
      </c>
      <c r="C17">
        <v>58</v>
      </c>
      <c r="D17">
        <v>12</v>
      </c>
      <c r="E17">
        <v>30</v>
      </c>
      <c r="F17">
        <v>11</v>
      </c>
      <c r="G17">
        <v>0.37</v>
      </c>
      <c r="H17">
        <v>19</v>
      </c>
      <c r="I17">
        <v>4</v>
      </c>
      <c r="J17">
        <v>15</v>
      </c>
      <c r="K17">
        <v>22</v>
      </c>
      <c r="L17">
        <v>13</v>
      </c>
      <c r="M17">
        <v>0</v>
      </c>
      <c r="N17" t="s">
        <v>103</v>
      </c>
      <c r="O17">
        <v>0</v>
      </c>
    </row>
    <row r="18" spans="1:15" x14ac:dyDescent="0.35">
      <c r="A18" t="s">
        <v>75</v>
      </c>
      <c r="B18" t="s">
        <v>78</v>
      </c>
      <c r="C18">
        <v>119</v>
      </c>
      <c r="D18">
        <v>86</v>
      </c>
      <c r="E18">
        <v>117</v>
      </c>
      <c r="F18">
        <v>55</v>
      </c>
      <c r="G18">
        <v>0.5</v>
      </c>
      <c r="H18">
        <v>58</v>
      </c>
      <c r="I18">
        <v>17</v>
      </c>
      <c r="J18">
        <v>41</v>
      </c>
      <c r="K18">
        <v>59</v>
      </c>
      <c r="L18">
        <v>82</v>
      </c>
      <c r="M18">
        <v>20</v>
      </c>
      <c r="N18" t="s">
        <v>104</v>
      </c>
      <c r="O18">
        <v>16</v>
      </c>
    </row>
    <row r="19" spans="1:15" x14ac:dyDescent="0.35">
      <c r="A19" t="s">
        <v>75</v>
      </c>
      <c r="B19" t="s">
        <v>79</v>
      </c>
      <c r="C19">
        <v>34</v>
      </c>
      <c r="D19">
        <v>53</v>
      </c>
      <c r="E19">
        <v>65</v>
      </c>
      <c r="F19">
        <v>38</v>
      </c>
      <c r="G19">
        <v>0.62</v>
      </c>
      <c r="H19">
        <v>25</v>
      </c>
      <c r="I19">
        <v>12</v>
      </c>
      <c r="J19">
        <v>13</v>
      </c>
      <c r="K19">
        <v>16</v>
      </c>
      <c r="L19">
        <v>50</v>
      </c>
      <c r="M19">
        <v>7</v>
      </c>
      <c r="O19">
        <v>10</v>
      </c>
    </row>
    <row r="20" spans="1:15" x14ac:dyDescent="0.35">
      <c r="A20" t="s">
        <v>75</v>
      </c>
      <c r="B20" t="s">
        <v>80</v>
      </c>
      <c r="C20">
        <v>79</v>
      </c>
      <c r="D20">
        <v>45</v>
      </c>
      <c r="E20">
        <v>95</v>
      </c>
      <c r="F20">
        <v>61</v>
      </c>
      <c r="G20">
        <v>0.83</v>
      </c>
      <c r="H20">
        <v>16</v>
      </c>
      <c r="I20">
        <v>0</v>
      </c>
      <c r="J20">
        <v>16</v>
      </c>
      <c r="K20">
        <v>42</v>
      </c>
      <c r="L20">
        <v>46</v>
      </c>
      <c r="M20">
        <v>5</v>
      </c>
      <c r="O20">
        <v>1</v>
      </c>
    </row>
    <row r="21" spans="1:15" x14ac:dyDescent="0.35">
      <c r="A21" t="s">
        <v>75</v>
      </c>
      <c r="B21" t="s">
        <v>81</v>
      </c>
      <c r="C21">
        <v>80</v>
      </c>
      <c r="D21">
        <v>54</v>
      </c>
      <c r="E21">
        <v>98</v>
      </c>
      <c r="F21">
        <v>61</v>
      </c>
      <c r="G21">
        <v>0.66</v>
      </c>
      <c r="H21">
        <v>33</v>
      </c>
      <c r="I21">
        <v>1</v>
      </c>
      <c r="J21">
        <v>32</v>
      </c>
      <c r="K21">
        <v>28</v>
      </c>
      <c r="L21">
        <v>43</v>
      </c>
      <c r="M21">
        <v>12</v>
      </c>
      <c r="O21">
        <v>2</v>
      </c>
    </row>
    <row r="22" spans="1:15" x14ac:dyDescent="0.35">
      <c r="A22" t="s">
        <v>75</v>
      </c>
      <c r="B22" t="s">
        <v>82</v>
      </c>
      <c r="C22">
        <v>15</v>
      </c>
      <c r="D22">
        <v>48</v>
      </c>
      <c r="E22">
        <v>35</v>
      </c>
      <c r="F22">
        <v>17</v>
      </c>
      <c r="G22">
        <v>0.6</v>
      </c>
      <c r="H22">
        <v>14</v>
      </c>
      <c r="I22">
        <v>7</v>
      </c>
      <c r="J22">
        <v>7</v>
      </c>
      <c r="K22">
        <v>10</v>
      </c>
      <c r="L22">
        <v>46</v>
      </c>
      <c r="M22">
        <v>0</v>
      </c>
      <c r="O22">
        <v>0</v>
      </c>
    </row>
    <row r="23" spans="1:15" x14ac:dyDescent="0.35">
      <c r="A23" t="s">
        <v>75</v>
      </c>
      <c r="B23" t="s">
        <v>83</v>
      </c>
      <c r="C23">
        <v>85</v>
      </c>
      <c r="D23">
        <v>75</v>
      </c>
      <c r="E23">
        <v>90</v>
      </c>
      <c r="F23">
        <v>60</v>
      </c>
      <c r="G23">
        <v>0.81</v>
      </c>
      <c r="H23">
        <v>17</v>
      </c>
      <c r="I23">
        <v>0</v>
      </c>
      <c r="J23">
        <v>17</v>
      </c>
      <c r="K23">
        <v>55</v>
      </c>
      <c r="L23">
        <v>87</v>
      </c>
      <c r="M23">
        <v>4</v>
      </c>
      <c r="O23">
        <v>17</v>
      </c>
    </row>
    <row r="24" spans="1:15" x14ac:dyDescent="0.35">
      <c r="A24" t="s">
        <v>75</v>
      </c>
      <c r="B24" t="s">
        <v>84</v>
      </c>
      <c r="C24">
        <v>60</v>
      </c>
      <c r="D24">
        <v>40</v>
      </c>
      <c r="E24">
        <v>66</v>
      </c>
      <c r="F24">
        <v>33</v>
      </c>
      <c r="G24">
        <v>0.5</v>
      </c>
      <c r="H24">
        <v>33</v>
      </c>
      <c r="I24">
        <v>24</v>
      </c>
      <c r="J24">
        <v>9</v>
      </c>
      <c r="K24">
        <v>25</v>
      </c>
      <c r="L24">
        <v>35</v>
      </c>
      <c r="M24">
        <v>0</v>
      </c>
      <c r="O24">
        <v>21</v>
      </c>
    </row>
    <row r="25" spans="1:15" x14ac:dyDescent="0.35">
      <c r="A25" t="s">
        <v>75</v>
      </c>
      <c r="B25" t="s">
        <v>85</v>
      </c>
      <c r="C25">
        <v>41</v>
      </c>
      <c r="D25">
        <v>38</v>
      </c>
      <c r="E25">
        <v>56</v>
      </c>
      <c r="F25">
        <v>26</v>
      </c>
      <c r="G25">
        <v>0.59</v>
      </c>
      <c r="H25">
        <v>23</v>
      </c>
      <c r="I25">
        <v>18</v>
      </c>
      <c r="J25">
        <v>5</v>
      </c>
      <c r="K25">
        <v>29</v>
      </c>
      <c r="L25">
        <v>36</v>
      </c>
      <c r="M25">
        <v>2</v>
      </c>
      <c r="O25">
        <v>1</v>
      </c>
    </row>
    <row r="26" spans="1:15" x14ac:dyDescent="0.35">
      <c r="A26" t="s">
        <v>75</v>
      </c>
      <c r="B26" t="s">
        <v>86</v>
      </c>
      <c r="C26">
        <v>50</v>
      </c>
      <c r="D26">
        <v>45</v>
      </c>
      <c r="E26">
        <v>52</v>
      </c>
      <c r="F26">
        <v>43</v>
      </c>
      <c r="G26">
        <v>0.92</v>
      </c>
      <c r="H26">
        <v>4</v>
      </c>
      <c r="I26">
        <v>0</v>
      </c>
      <c r="J26">
        <v>4</v>
      </c>
      <c r="K26">
        <v>35</v>
      </c>
      <c r="L26">
        <v>61</v>
      </c>
      <c r="M26">
        <v>6</v>
      </c>
      <c r="O26">
        <v>43</v>
      </c>
    </row>
    <row r="27" spans="1:15" x14ac:dyDescent="0.35">
      <c r="A27" t="s">
        <v>75</v>
      </c>
      <c r="B27" t="s">
        <v>87</v>
      </c>
      <c r="C27">
        <v>60</v>
      </c>
      <c r="D27">
        <v>44</v>
      </c>
      <c r="E27">
        <v>64</v>
      </c>
      <c r="F27">
        <v>53</v>
      </c>
      <c r="G27">
        <v>0.88</v>
      </c>
      <c r="H27">
        <v>8</v>
      </c>
      <c r="I27">
        <v>0</v>
      </c>
      <c r="J27">
        <v>8</v>
      </c>
      <c r="K27">
        <v>18</v>
      </c>
      <c r="L27">
        <v>57</v>
      </c>
      <c r="M27">
        <v>2</v>
      </c>
      <c r="O27">
        <v>47</v>
      </c>
    </row>
    <row r="28" spans="1:15" x14ac:dyDescent="0.35">
      <c r="A28" t="s">
        <v>75</v>
      </c>
      <c r="B28" t="s">
        <v>88</v>
      </c>
      <c r="C28">
        <v>22</v>
      </c>
      <c r="D28">
        <v>41</v>
      </c>
      <c r="E28">
        <v>48</v>
      </c>
      <c r="F28">
        <v>34</v>
      </c>
      <c r="G28">
        <v>0.73</v>
      </c>
      <c r="H28">
        <v>13</v>
      </c>
      <c r="I28">
        <v>0</v>
      </c>
      <c r="J28">
        <v>13</v>
      </c>
      <c r="K28">
        <v>6</v>
      </c>
      <c r="L28">
        <v>25</v>
      </c>
      <c r="M28">
        <v>0</v>
      </c>
      <c r="O28">
        <v>13</v>
      </c>
    </row>
    <row r="29" spans="1:15" x14ac:dyDescent="0.35">
      <c r="A29" t="s">
        <v>75</v>
      </c>
      <c r="B29" t="s">
        <v>89</v>
      </c>
      <c r="C29">
        <v>43</v>
      </c>
      <c r="D29">
        <v>37</v>
      </c>
      <c r="E29">
        <v>50</v>
      </c>
      <c r="F29">
        <v>25</v>
      </c>
      <c r="G29">
        <v>0.62</v>
      </c>
      <c r="H29">
        <v>19</v>
      </c>
      <c r="I29">
        <v>9</v>
      </c>
      <c r="J29">
        <v>10</v>
      </c>
      <c r="K29">
        <v>31</v>
      </c>
      <c r="L29">
        <v>34</v>
      </c>
      <c r="M29">
        <v>9</v>
      </c>
      <c r="O29">
        <v>3</v>
      </c>
    </row>
    <row r="30" spans="1:15" x14ac:dyDescent="0.35">
      <c r="A30" t="s">
        <v>75</v>
      </c>
      <c r="B30" t="s">
        <v>90</v>
      </c>
      <c r="C30">
        <v>24</v>
      </c>
      <c r="D30">
        <v>38</v>
      </c>
      <c r="E30">
        <v>73</v>
      </c>
      <c r="F30">
        <v>61</v>
      </c>
      <c r="G30">
        <v>0.9</v>
      </c>
      <c r="H30">
        <v>7</v>
      </c>
      <c r="I30">
        <v>0</v>
      </c>
      <c r="J30">
        <v>7</v>
      </c>
      <c r="K30">
        <v>23</v>
      </c>
      <c r="L30">
        <v>37</v>
      </c>
      <c r="M30">
        <v>0</v>
      </c>
      <c r="O30">
        <v>36</v>
      </c>
    </row>
    <row r="31" spans="1:15" x14ac:dyDescent="0.35">
      <c r="A31" t="s">
        <v>75</v>
      </c>
      <c r="B31" t="s">
        <v>91</v>
      </c>
      <c r="C31">
        <v>15</v>
      </c>
      <c r="D31">
        <v>6</v>
      </c>
      <c r="E31">
        <v>22</v>
      </c>
      <c r="F31">
        <v>4</v>
      </c>
      <c r="G31">
        <v>0.23</v>
      </c>
      <c r="H31">
        <v>17</v>
      </c>
      <c r="I31">
        <v>5</v>
      </c>
      <c r="J31">
        <v>12</v>
      </c>
      <c r="K31">
        <v>9</v>
      </c>
      <c r="L31">
        <v>2</v>
      </c>
      <c r="M31">
        <v>1</v>
      </c>
      <c r="O31">
        <v>0</v>
      </c>
    </row>
    <row r="32" spans="1:15" x14ac:dyDescent="0.35">
      <c r="A32" t="s">
        <v>76</v>
      </c>
      <c r="B32" t="s">
        <v>77</v>
      </c>
      <c r="C32">
        <v>39</v>
      </c>
      <c r="D32">
        <v>8</v>
      </c>
      <c r="E32">
        <v>30</v>
      </c>
      <c r="F32">
        <v>16</v>
      </c>
      <c r="G32">
        <v>0.5333</v>
      </c>
      <c r="H32">
        <v>14</v>
      </c>
      <c r="I32">
        <v>0</v>
      </c>
      <c r="J32">
        <v>14</v>
      </c>
      <c r="K32">
        <v>20</v>
      </c>
      <c r="L32">
        <v>9</v>
      </c>
      <c r="M32">
        <v>0</v>
      </c>
      <c r="O32">
        <v>0</v>
      </c>
    </row>
    <row r="33" spans="1:15" x14ac:dyDescent="0.35">
      <c r="A33" t="s">
        <v>76</v>
      </c>
      <c r="B33" t="s">
        <v>78</v>
      </c>
      <c r="C33">
        <v>86</v>
      </c>
      <c r="D33">
        <v>57</v>
      </c>
      <c r="E33">
        <v>138</v>
      </c>
      <c r="F33">
        <v>89</v>
      </c>
      <c r="G33">
        <v>0.73909999999999998</v>
      </c>
      <c r="H33">
        <v>36</v>
      </c>
      <c r="I33">
        <v>6</v>
      </c>
      <c r="J33">
        <v>30</v>
      </c>
      <c r="K33">
        <v>63</v>
      </c>
      <c r="L33">
        <v>72</v>
      </c>
      <c r="M33">
        <v>27</v>
      </c>
      <c r="O33">
        <v>22</v>
      </c>
    </row>
    <row r="34" spans="1:15" x14ac:dyDescent="0.35">
      <c r="A34" t="s">
        <v>76</v>
      </c>
      <c r="B34" t="s">
        <v>79</v>
      </c>
      <c r="C34">
        <v>37</v>
      </c>
      <c r="D34">
        <v>40</v>
      </c>
      <c r="E34">
        <v>74</v>
      </c>
      <c r="F34">
        <v>65</v>
      </c>
      <c r="G34">
        <v>0.89190000000000003</v>
      </c>
      <c r="H34">
        <v>8</v>
      </c>
      <c r="I34">
        <v>5</v>
      </c>
      <c r="J34">
        <v>3</v>
      </c>
      <c r="K34">
        <v>9</v>
      </c>
      <c r="L34">
        <v>42</v>
      </c>
      <c r="M34">
        <v>6</v>
      </c>
      <c r="O34">
        <v>11</v>
      </c>
    </row>
    <row r="35" spans="1:15" x14ac:dyDescent="0.35">
      <c r="A35" t="s">
        <v>76</v>
      </c>
      <c r="B35" t="s">
        <v>80</v>
      </c>
      <c r="C35">
        <v>48</v>
      </c>
      <c r="D35">
        <v>32</v>
      </c>
      <c r="E35">
        <v>61</v>
      </c>
      <c r="F35">
        <v>42</v>
      </c>
      <c r="G35">
        <v>0.83609999999999995</v>
      </c>
      <c r="H35">
        <v>10</v>
      </c>
      <c r="I35">
        <v>0</v>
      </c>
      <c r="J35">
        <v>10</v>
      </c>
      <c r="K35">
        <v>33</v>
      </c>
      <c r="L35">
        <v>43</v>
      </c>
      <c r="M35">
        <v>2</v>
      </c>
      <c r="O35">
        <v>3</v>
      </c>
    </row>
    <row r="36" spans="1:15" x14ac:dyDescent="0.35">
      <c r="A36" t="s">
        <v>76</v>
      </c>
      <c r="B36" t="s">
        <v>81</v>
      </c>
      <c r="C36">
        <v>87</v>
      </c>
      <c r="D36">
        <v>35</v>
      </c>
      <c r="E36">
        <v>82</v>
      </c>
      <c r="F36">
        <v>54</v>
      </c>
      <c r="G36">
        <v>0.73170000000000002</v>
      </c>
      <c r="H36">
        <v>22</v>
      </c>
      <c r="I36">
        <v>2</v>
      </c>
      <c r="J36">
        <v>20</v>
      </c>
      <c r="K36">
        <v>22</v>
      </c>
      <c r="L36">
        <v>38</v>
      </c>
      <c r="M36">
        <v>5</v>
      </c>
      <c r="O36">
        <v>3</v>
      </c>
    </row>
    <row r="37" spans="1:15" x14ac:dyDescent="0.35">
      <c r="A37" t="s">
        <v>76</v>
      </c>
      <c r="B37" t="s">
        <v>82</v>
      </c>
      <c r="C37">
        <v>24</v>
      </c>
      <c r="D37">
        <v>34</v>
      </c>
      <c r="E37">
        <v>61</v>
      </c>
      <c r="F37">
        <v>47</v>
      </c>
      <c r="G37">
        <v>0.85250000000000004</v>
      </c>
      <c r="H37">
        <v>9</v>
      </c>
      <c r="I37">
        <v>1</v>
      </c>
      <c r="J37">
        <v>8</v>
      </c>
      <c r="K37">
        <v>13</v>
      </c>
      <c r="L37">
        <v>43</v>
      </c>
      <c r="M37">
        <v>0</v>
      </c>
      <c r="O37">
        <v>0</v>
      </c>
    </row>
    <row r="38" spans="1:15" x14ac:dyDescent="0.35">
      <c r="A38" t="s">
        <v>76</v>
      </c>
      <c r="B38" t="s">
        <v>83</v>
      </c>
      <c r="C38">
        <v>85</v>
      </c>
      <c r="D38">
        <v>49</v>
      </c>
      <c r="E38">
        <v>82</v>
      </c>
      <c r="F38">
        <v>62</v>
      </c>
      <c r="G38">
        <v>0.84150000000000003</v>
      </c>
      <c r="H38">
        <v>13</v>
      </c>
      <c r="I38">
        <v>0</v>
      </c>
      <c r="J38">
        <v>13</v>
      </c>
      <c r="K38">
        <v>72</v>
      </c>
      <c r="L38">
        <v>69</v>
      </c>
      <c r="M38">
        <v>11</v>
      </c>
      <c r="O38">
        <v>11</v>
      </c>
    </row>
    <row r="39" spans="1:15" x14ac:dyDescent="0.35">
      <c r="A39" t="s">
        <v>76</v>
      </c>
      <c r="B39" t="s">
        <v>84</v>
      </c>
      <c r="C39">
        <v>38</v>
      </c>
      <c r="D39">
        <v>30</v>
      </c>
      <c r="E39">
        <v>72</v>
      </c>
      <c r="F39">
        <v>43</v>
      </c>
      <c r="G39">
        <v>0.65280000000000005</v>
      </c>
      <c r="H39">
        <v>25</v>
      </c>
      <c r="I39">
        <v>13</v>
      </c>
      <c r="J39">
        <v>12</v>
      </c>
      <c r="K39">
        <v>22</v>
      </c>
      <c r="L39">
        <v>36</v>
      </c>
      <c r="M39">
        <v>0</v>
      </c>
      <c r="O39">
        <v>4</v>
      </c>
    </row>
    <row r="40" spans="1:15" x14ac:dyDescent="0.35">
      <c r="A40" t="s">
        <v>76</v>
      </c>
      <c r="B40" t="s">
        <v>85</v>
      </c>
      <c r="C40">
        <v>23</v>
      </c>
      <c r="D40">
        <v>28</v>
      </c>
      <c r="E40">
        <v>55</v>
      </c>
      <c r="F40">
        <v>35</v>
      </c>
      <c r="G40">
        <v>0.72729999999999995</v>
      </c>
      <c r="H40">
        <v>15</v>
      </c>
      <c r="I40">
        <v>14</v>
      </c>
      <c r="J40">
        <v>1</v>
      </c>
      <c r="K40">
        <v>20</v>
      </c>
      <c r="L40">
        <v>37</v>
      </c>
      <c r="M40">
        <v>9</v>
      </c>
      <c r="O40">
        <v>2</v>
      </c>
    </row>
    <row r="41" spans="1:15" x14ac:dyDescent="0.35">
      <c r="A41" t="s">
        <v>76</v>
      </c>
      <c r="B41" t="s">
        <v>86</v>
      </c>
      <c r="C41">
        <v>48</v>
      </c>
      <c r="D41">
        <v>29</v>
      </c>
      <c r="E41">
        <v>37</v>
      </c>
      <c r="F41">
        <v>31</v>
      </c>
      <c r="G41">
        <v>0.94589999999999996</v>
      </c>
      <c r="H41">
        <v>2</v>
      </c>
      <c r="I41">
        <v>0</v>
      </c>
      <c r="J41">
        <v>2</v>
      </c>
      <c r="K41">
        <v>29</v>
      </c>
      <c r="L41">
        <v>47</v>
      </c>
      <c r="M41">
        <v>2</v>
      </c>
      <c r="O41">
        <v>30</v>
      </c>
    </row>
    <row r="42" spans="1:15" x14ac:dyDescent="0.35">
      <c r="A42" t="s">
        <v>76</v>
      </c>
      <c r="B42" t="s">
        <v>87</v>
      </c>
      <c r="C42">
        <v>35</v>
      </c>
      <c r="D42">
        <v>28</v>
      </c>
      <c r="E42">
        <v>45</v>
      </c>
      <c r="F42">
        <v>41</v>
      </c>
      <c r="G42">
        <v>0.93330000000000002</v>
      </c>
      <c r="H42">
        <v>3</v>
      </c>
      <c r="I42">
        <v>0</v>
      </c>
      <c r="J42">
        <v>3</v>
      </c>
      <c r="K42">
        <v>37</v>
      </c>
      <c r="L42">
        <v>47</v>
      </c>
      <c r="M42">
        <v>7</v>
      </c>
      <c r="O42">
        <v>34</v>
      </c>
    </row>
    <row r="43" spans="1:15" x14ac:dyDescent="0.35">
      <c r="A43" t="s">
        <v>76</v>
      </c>
      <c r="B43" t="s">
        <v>88</v>
      </c>
      <c r="C43">
        <v>23</v>
      </c>
      <c r="D43">
        <v>35</v>
      </c>
      <c r="E43">
        <v>41</v>
      </c>
      <c r="F43">
        <v>31</v>
      </c>
      <c r="G43">
        <v>0.80489999999999995</v>
      </c>
      <c r="H43">
        <v>8</v>
      </c>
      <c r="I43">
        <v>0</v>
      </c>
      <c r="J43">
        <v>8</v>
      </c>
      <c r="K43">
        <v>18</v>
      </c>
      <c r="L43">
        <v>21</v>
      </c>
      <c r="M43">
        <v>0</v>
      </c>
      <c r="O43">
        <v>11</v>
      </c>
    </row>
    <row r="44" spans="1:15" x14ac:dyDescent="0.35">
      <c r="A44" t="s">
        <v>76</v>
      </c>
      <c r="B44" t="s">
        <v>89</v>
      </c>
      <c r="C44">
        <v>41</v>
      </c>
      <c r="D44">
        <v>30</v>
      </c>
      <c r="E44">
        <v>63</v>
      </c>
      <c r="F44">
        <v>22</v>
      </c>
      <c r="G44">
        <v>0.44440000000000002</v>
      </c>
      <c r="H44">
        <v>35</v>
      </c>
      <c r="I44">
        <v>17</v>
      </c>
      <c r="J44">
        <v>18</v>
      </c>
      <c r="K44">
        <v>12</v>
      </c>
      <c r="L44">
        <v>30</v>
      </c>
      <c r="M44">
        <v>7</v>
      </c>
      <c r="O44">
        <v>0</v>
      </c>
    </row>
    <row r="45" spans="1:15" x14ac:dyDescent="0.35">
      <c r="A45" t="s">
        <v>76</v>
      </c>
      <c r="B45" t="s">
        <v>90</v>
      </c>
      <c r="C45">
        <v>26</v>
      </c>
      <c r="D45">
        <v>28</v>
      </c>
      <c r="E45">
        <v>43</v>
      </c>
      <c r="F45">
        <v>31</v>
      </c>
      <c r="G45">
        <v>0.76739999999999997</v>
      </c>
      <c r="H45">
        <v>10</v>
      </c>
      <c r="I45">
        <v>2</v>
      </c>
      <c r="J45">
        <v>8</v>
      </c>
      <c r="K45">
        <v>21</v>
      </c>
      <c r="L45">
        <v>33</v>
      </c>
      <c r="M45">
        <v>2</v>
      </c>
      <c r="O45">
        <v>16</v>
      </c>
    </row>
    <row r="46" spans="1:15" x14ac:dyDescent="0.35">
      <c r="A46" t="s">
        <v>76</v>
      </c>
      <c r="B46" t="s">
        <v>91</v>
      </c>
      <c r="C46">
        <v>21</v>
      </c>
      <c r="D46">
        <v>4</v>
      </c>
      <c r="E46">
        <v>23</v>
      </c>
      <c r="F46">
        <v>12</v>
      </c>
      <c r="G46">
        <v>0.56520000000000004</v>
      </c>
      <c r="H46">
        <v>10</v>
      </c>
      <c r="I46">
        <v>1</v>
      </c>
      <c r="J46">
        <v>9</v>
      </c>
      <c r="K46">
        <v>3</v>
      </c>
      <c r="L46">
        <v>4</v>
      </c>
      <c r="M46">
        <v>0</v>
      </c>
      <c r="O46">
        <v>1</v>
      </c>
    </row>
    <row r="47" spans="1:15" x14ac:dyDescent="0.35">
      <c r="A47" t="s">
        <v>59</v>
      </c>
      <c r="B47" t="s">
        <v>77</v>
      </c>
      <c r="C47">
        <v>17</v>
      </c>
      <c r="D47">
        <v>15</v>
      </c>
      <c r="E47">
        <v>25</v>
      </c>
      <c r="F47">
        <v>11</v>
      </c>
      <c r="G47">
        <v>0.44</v>
      </c>
      <c r="H47">
        <v>14</v>
      </c>
      <c r="I47">
        <v>2</v>
      </c>
      <c r="J47">
        <v>12</v>
      </c>
      <c r="K47">
        <v>11</v>
      </c>
      <c r="L47">
        <v>5</v>
      </c>
      <c r="M47">
        <v>0</v>
      </c>
      <c r="O47">
        <v>0</v>
      </c>
    </row>
    <row r="48" spans="1:15" x14ac:dyDescent="0.35">
      <c r="A48" t="s">
        <v>59</v>
      </c>
      <c r="B48" t="s">
        <v>78</v>
      </c>
      <c r="C48">
        <v>48</v>
      </c>
      <c r="D48">
        <v>54</v>
      </c>
      <c r="E48">
        <v>88</v>
      </c>
      <c r="F48">
        <v>58</v>
      </c>
      <c r="G48">
        <v>0.75</v>
      </c>
      <c r="H48">
        <v>22</v>
      </c>
      <c r="I48">
        <v>6</v>
      </c>
      <c r="J48">
        <v>16</v>
      </c>
      <c r="K48">
        <v>47</v>
      </c>
      <c r="L48">
        <v>47</v>
      </c>
      <c r="M48">
        <v>8</v>
      </c>
      <c r="O48">
        <v>19</v>
      </c>
    </row>
    <row r="49" spans="1:15" x14ac:dyDescent="0.35">
      <c r="A49" t="s">
        <v>59</v>
      </c>
      <c r="B49" t="s">
        <v>79</v>
      </c>
      <c r="C49">
        <v>6</v>
      </c>
      <c r="D49">
        <v>34</v>
      </c>
      <c r="E49">
        <v>54</v>
      </c>
      <c r="F49">
        <v>51</v>
      </c>
      <c r="G49">
        <v>0.96299999999999997</v>
      </c>
      <c r="H49">
        <v>2</v>
      </c>
      <c r="I49">
        <v>0</v>
      </c>
      <c r="J49">
        <v>2</v>
      </c>
      <c r="K49">
        <v>14</v>
      </c>
      <c r="L49">
        <v>34</v>
      </c>
      <c r="M49">
        <v>5</v>
      </c>
      <c r="O49">
        <v>17</v>
      </c>
    </row>
    <row r="50" spans="1:15" x14ac:dyDescent="0.35">
      <c r="A50" t="s">
        <v>59</v>
      </c>
      <c r="B50" t="s">
        <v>80</v>
      </c>
      <c r="C50">
        <v>26</v>
      </c>
      <c r="D50">
        <v>60</v>
      </c>
      <c r="E50">
        <v>66</v>
      </c>
      <c r="F50">
        <v>30</v>
      </c>
      <c r="G50">
        <v>0.62119999999999997</v>
      </c>
      <c r="H50">
        <v>25</v>
      </c>
      <c r="I50">
        <v>3</v>
      </c>
      <c r="J50">
        <v>22</v>
      </c>
      <c r="K50">
        <v>23</v>
      </c>
      <c r="L50">
        <v>29</v>
      </c>
      <c r="M50">
        <v>8</v>
      </c>
      <c r="O50">
        <v>2</v>
      </c>
    </row>
    <row r="51" spans="1:15" x14ac:dyDescent="0.35">
      <c r="A51" t="s">
        <v>59</v>
      </c>
      <c r="B51" t="s">
        <v>81</v>
      </c>
      <c r="C51">
        <v>61</v>
      </c>
      <c r="D51">
        <v>54</v>
      </c>
      <c r="E51">
        <v>74</v>
      </c>
      <c r="F51">
        <v>45</v>
      </c>
      <c r="G51">
        <v>0.71619999999999995</v>
      </c>
      <c r="H51">
        <v>21</v>
      </c>
      <c r="I51">
        <v>1</v>
      </c>
      <c r="J51">
        <v>20</v>
      </c>
      <c r="K51">
        <v>23</v>
      </c>
      <c r="L51">
        <v>26</v>
      </c>
      <c r="M51">
        <v>4</v>
      </c>
      <c r="O51">
        <v>7</v>
      </c>
    </row>
    <row r="52" spans="1:15" x14ac:dyDescent="0.35">
      <c r="A52" t="s">
        <v>59</v>
      </c>
      <c r="B52" t="s">
        <v>82</v>
      </c>
      <c r="C52">
        <v>10</v>
      </c>
      <c r="D52">
        <v>33</v>
      </c>
      <c r="E52">
        <v>46</v>
      </c>
      <c r="F52">
        <v>33</v>
      </c>
      <c r="G52">
        <v>0.71740000000000004</v>
      </c>
      <c r="H52">
        <v>13</v>
      </c>
      <c r="I52">
        <v>7</v>
      </c>
      <c r="J52">
        <v>6</v>
      </c>
      <c r="K52">
        <v>13</v>
      </c>
      <c r="L52">
        <v>24</v>
      </c>
      <c r="M52">
        <v>0</v>
      </c>
      <c r="O52">
        <v>0</v>
      </c>
    </row>
    <row r="53" spans="1:15" x14ac:dyDescent="0.35">
      <c r="A53" t="s">
        <v>59</v>
      </c>
      <c r="B53" t="s">
        <v>83</v>
      </c>
      <c r="C53">
        <v>47</v>
      </c>
      <c r="D53">
        <v>103</v>
      </c>
      <c r="E53">
        <v>109</v>
      </c>
      <c r="F53">
        <v>69</v>
      </c>
      <c r="G53">
        <v>0.71560000000000001</v>
      </c>
      <c r="H53">
        <v>31</v>
      </c>
      <c r="I53">
        <v>0</v>
      </c>
      <c r="J53">
        <v>31</v>
      </c>
      <c r="K53">
        <v>27</v>
      </c>
      <c r="L53">
        <v>47</v>
      </c>
      <c r="M53">
        <v>19</v>
      </c>
      <c r="O53">
        <v>17</v>
      </c>
    </row>
    <row r="54" spans="1:15" x14ac:dyDescent="0.35">
      <c r="A54" t="s">
        <v>59</v>
      </c>
      <c r="B54" t="s">
        <v>84</v>
      </c>
      <c r="C54">
        <v>14</v>
      </c>
      <c r="D54">
        <v>42</v>
      </c>
      <c r="E54">
        <v>64</v>
      </c>
      <c r="F54">
        <v>34</v>
      </c>
      <c r="G54">
        <v>0.57809999999999995</v>
      </c>
      <c r="H54">
        <v>27</v>
      </c>
      <c r="I54">
        <v>12</v>
      </c>
      <c r="J54">
        <v>15</v>
      </c>
      <c r="K54">
        <v>18</v>
      </c>
      <c r="L54">
        <v>22</v>
      </c>
      <c r="M54">
        <v>0</v>
      </c>
      <c r="O54">
        <v>7</v>
      </c>
    </row>
    <row r="55" spans="1:15" x14ac:dyDescent="0.35">
      <c r="A55" t="s">
        <v>59</v>
      </c>
      <c r="B55" t="s">
        <v>85</v>
      </c>
      <c r="C55">
        <v>59</v>
      </c>
      <c r="D55">
        <v>41</v>
      </c>
      <c r="E55">
        <v>52</v>
      </c>
      <c r="F55">
        <v>28</v>
      </c>
      <c r="G55">
        <v>0.59619999999999995</v>
      </c>
      <c r="H55">
        <v>21</v>
      </c>
      <c r="I55">
        <v>8</v>
      </c>
      <c r="J55">
        <v>13</v>
      </c>
      <c r="K55">
        <v>14</v>
      </c>
      <c r="L55">
        <v>20</v>
      </c>
      <c r="M55">
        <v>0</v>
      </c>
      <c r="O55">
        <v>2</v>
      </c>
    </row>
    <row r="56" spans="1:15" x14ac:dyDescent="0.35">
      <c r="A56" t="s">
        <v>59</v>
      </c>
      <c r="B56" t="s">
        <v>86</v>
      </c>
      <c r="C56">
        <v>43</v>
      </c>
      <c r="D56">
        <v>59</v>
      </c>
      <c r="E56">
        <v>53</v>
      </c>
      <c r="F56">
        <v>49</v>
      </c>
      <c r="G56">
        <v>0.94340000000000002</v>
      </c>
      <c r="H56">
        <v>3</v>
      </c>
      <c r="I56">
        <v>0</v>
      </c>
      <c r="J56">
        <v>3</v>
      </c>
      <c r="K56">
        <v>8</v>
      </c>
      <c r="L56">
        <v>32</v>
      </c>
      <c r="M56">
        <v>0</v>
      </c>
      <c r="O56">
        <v>48</v>
      </c>
    </row>
    <row r="57" spans="1:15" x14ac:dyDescent="0.35">
      <c r="A57" t="s">
        <v>59</v>
      </c>
      <c r="B57" t="s">
        <v>87</v>
      </c>
      <c r="C57">
        <v>35</v>
      </c>
      <c r="D57">
        <v>57</v>
      </c>
      <c r="E57">
        <v>46</v>
      </c>
      <c r="F57">
        <v>42</v>
      </c>
      <c r="G57">
        <v>0.97829999999999995</v>
      </c>
      <c r="H57">
        <v>1</v>
      </c>
      <c r="I57">
        <v>0</v>
      </c>
      <c r="J57">
        <v>1</v>
      </c>
      <c r="K57">
        <v>11</v>
      </c>
      <c r="L57">
        <v>28</v>
      </c>
      <c r="M57">
        <v>6</v>
      </c>
      <c r="O57">
        <v>42</v>
      </c>
    </row>
    <row r="58" spans="1:15" x14ac:dyDescent="0.35">
      <c r="A58" t="s">
        <v>59</v>
      </c>
      <c r="B58" t="s">
        <v>88</v>
      </c>
      <c r="C58">
        <v>13</v>
      </c>
      <c r="D58">
        <v>28</v>
      </c>
      <c r="E58">
        <v>46</v>
      </c>
      <c r="F58">
        <v>30</v>
      </c>
      <c r="G58">
        <v>0.82609999999999995</v>
      </c>
      <c r="H58">
        <v>8</v>
      </c>
      <c r="I58">
        <v>1</v>
      </c>
      <c r="J58">
        <v>7</v>
      </c>
      <c r="K58">
        <v>6</v>
      </c>
      <c r="L58">
        <v>12</v>
      </c>
      <c r="M58">
        <v>0</v>
      </c>
      <c r="O58">
        <v>13</v>
      </c>
    </row>
    <row r="59" spans="1:15" x14ac:dyDescent="0.35">
      <c r="A59" t="s">
        <v>59</v>
      </c>
      <c r="B59" t="s">
        <v>89</v>
      </c>
      <c r="C59">
        <v>17</v>
      </c>
      <c r="D59">
        <v>40</v>
      </c>
      <c r="E59">
        <v>79</v>
      </c>
      <c r="F59">
        <v>53</v>
      </c>
      <c r="G59">
        <v>0.70889999999999997</v>
      </c>
      <c r="H59">
        <v>23</v>
      </c>
      <c r="I59">
        <v>17</v>
      </c>
      <c r="J59">
        <v>6</v>
      </c>
      <c r="K59">
        <v>13</v>
      </c>
      <c r="L59">
        <v>20</v>
      </c>
      <c r="M59">
        <v>21</v>
      </c>
      <c r="O59">
        <v>10</v>
      </c>
    </row>
    <row r="60" spans="1:15" x14ac:dyDescent="0.35">
      <c r="A60" t="s">
        <v>59</v>
      </c>
      <c r="B60" t="s">
        <v>90</v>
      </c>
      <c r="C60">
        <v>8</v>
      </c>
      <c r="D60">
        <v>42</v>
      </c>
      <c r="E60">
        <v>48</v>
      </c>
      <c r="F60">
        <v>27</v>
      </c>
      <c r="G60">
        <v>0.60419999999999996</v>
      </c>
      <c r="H60">
        <v>19</v>
      </c>
      <c r="I60">
        <v>10</v>
      </c>
      <c r="J60">
        <v>9</v>
      </c>
      <c r="K60">
        <v>23</v>
      </c>
      <c r="L60">
        <v>20</v>
      </c>
      <c r="M60">
        <v>5</v>
      </c>
      <c r="O60">
        <v>15</v>
      </c>
    </row>
    <row r="61" spans="1:15" x14ac:dyDescent="0.35">
      <c r="A61" t="s">
        <v>59</v>
      </c>
      <c r="B61" t="s">
        <v>91</v>
      </c>
      <c r="C61">
        <v>3</v>
      </c>
      <c r="D61">
        <v>6</v>
      </c>
      <c r="E61">
        <v>17</v>
      </c>
      <c r="F61">
        <v>6</v>
      </c>
      <c r="G61">
        <v>0.35289999999999999</v>
      </c>
      <c r="H61">
        <v>11</v>
      </c>
      <c r="I61">
        <v>1</v>
      </c>
      <c r="J61">
        <v>10</v>
      </c>
      <c r="K61">
        <v>7</v>
      </c>
      <c r="L61">
        <v>1</v>
      </c>
      <c r="M61">
        <v>0</v>
      </c>
      <c r="O61">
        <v>0</v>
      </c>
    </row>
    <row r="62" spans="1:15" x14ac:dyDescent="0.35">
      <c r="A62" t="s">
        <v>60</v>
      </c>
      <c r="B62" t="s">
        <v>77</v>
      </c>
      <c r="C62">
        <v>22</v>
      </c>
      <c r="D62">
        <v>13</v>
      </c>
      <c r="E62">
        <v>26</v>
      </c>
      <c r="F62">
        <v>6</v>
      </c>
      <c r="G62">
        <v>0.34620000000000001</v>
      </c>
      <c r="H62">
        <v>15</v>
      </c>
      <c r="I62">
        <v>2</v>
      </c>
      <c r="J62">
        <v>17</v>
      </c>
      <c r="K62">
        <v>44</v>
      </c>
      <c r="L62">
        <v>13</v>
      </c>
      <c r="M62">
        <v>0</v>
      </c>
      <c r="O62">
        <v>0</v>
      </c>
    </row>
    <row r="63" spans="1:15" x14ac:dyDescent="0.35">
      <c r="A63" t="s">
        <v>60</v>
      </c>
      <c r="B63" t="s">
        <v>78</v>
      </c>
      <c r="C63">
        <v>59</v>
      </c>
      <c r="D63">
        <v>82</v>
      </c>
      <c r="E63">
        <v>95</v>
      </c>
      <c r="F63">
        <v>35</v>
      </c>
      <c r="G63">
        <v>0.51580000000000004</v>
      </c>
      <c r="H63">
        <v>44</v>
      </c>
      <c r="I63">
        <v>2</v>
      </c>
      <c r="J63">
        <v>46</v>
      </c>
      <c r="K63">
        <v>121</v>
      </c>
      <c r="L63">
        <v>89</v>
      </c>
      <c r="M63">
        <v>5</v>
      </c>
      <c r="O63">
        <v>20</v>
      </c>
    </row>
    <row r="64" spans="1:15" x14ac:dyDescent="0.35">
      <c r="A64" t="s">
        <v>60</v>
      </c>
      <c r="B64" t="s">
        <v>79</v>
      </c>
      <c r="C64">
        <v>16</v>
      </c>
      <c r="D64">
        <v>50</v>
      </c>
      <c r="E64">
        <v>38</v>
      </c>
      <c r="F64">
        <v>31</v>
      </c>
      <c r="G64">
        <v>0.84209999999999996</v>
      </c>
      <c r="H64">
        <v>5</v>
      </c>
      <c r="I64">
        <v>1</v>
      </c>
      <c r="J64">
        <v>6</v>
      </c>
      <c r="K64">
        <v>21</v>
      </c>
      <c r="L64">
        <v>22</v>
      </c>
      <c r="M64">
        <v>2</v>
      </c>
      <c r="O64">
        <v>25</v>
      </c>
    </row>
    <row r="65" spans="1:15" x14ac:dyDescent="0.35">
      <c r="A65" t="s">
        <v>60</v>
      </c>
      <c r="B65" t="s">
        <v>80</v>
      </c>
      <c r="C65">
        <v>42</v>
      </c>
      <c r="D65">
        <v>46</v>
      </c>
      <c r="E65">
        <v>72</v>
      </c>
      <c r="F65">
        <v>46</v>
      </c>
      <c r="G65">
        <v>0.75</v>
      </c>
      <c r="H65">
        <v>17</v>
      </c>
      <c r="I65">
        <v>1</v>
      </c>
      <c r="J65">
        <v>18</v>
      </c>
      <c r="K65">
        <v>66</v>
      </c>
      <c r="L65">
        <v>54</v>
      </c>
      <c r="M65">
        <v>0</v>
      </c>
      <c r="O65">
        <v>3</v>
      </c>
    </row>
    <row r="66" spans="1:15" x14ac:dyDescent="0.35">
      <c r="A66" t="s">
        <v>60</v>
      </c>
      <c r="B66" t="s">
        <v>81</v>
      </c>
      <c r="C66">
        <v>28</v>
      </c>
      <c r="D66">
        <v>43</v>
      </c>
      <c r="E66">
        <v>68</v>
      </c>
      <c r="F66">
        <v>42</v>
      </c>
      <c r="G66">
        <v>0.67649999999999999</v>
      </c>
      <c r="H66">
        <v>19</v>
      </c>
      <c r="I66">
        <v>3</v>
      </c>
      <c r="J66">
        <v>22</v>
      </c>
      <c r="K66">
        <v>58</v>
      </c>
      <c r="L66">
        <v>54</v>
      </c>
      <c r="M66">
        <v>6</v>
      </c>
      <c r="O66">
        <v>2</v>
      </c>
    </row>
    <row r="67" spans="1:15" x14ac:dyDescent="0.35">
      <c r="A67" t="s">
        <v>60</v>
      </c>
      <c r="B67" t="s">
        <v>82</v>
      </c>
      <c r="C67">
        <v>10</v>
      </c>
      <c r="D67">
        <v>46</v>
      </c>
      <c r="E67">
        <v>51</v>
      </c>
      <c r="F67">
        <v>29</v>
      </c>
      <c r="G67">
        <v>0.66669999999999996</v>
      </c>
      <c r="H67">
        <v>12</v>
      </c>
      <c r="I67">
        <v>5</v>
      </c>
      <c r="J67">
        <v>17</v>
      </c>
      <c r="K67">
        <v>12</v>
      </c>
      <c r="L67">
        <v>23</v>
      </c>
      <c r="M67">
        <v>0</v>
      </c>
      <c r="O67">
        <v>1</v>
      </c>
    </row>
    <row r="68" spans="1:15" x14ac:dyDescent="0.35">
      <c r="A68" t="s">
        <v>60</v>
      </c>
      <c r="B68" t="s">
        <v>83</v>
      </c>
      <c r="C68">
        <v>55</v>
      </c>
      <c r="D68">
        <v>87</v>
      </c>
      <c r="E68">
        <v>107</v>
      </c>
      <c r="F68">
        <v>74</v>
      </c>
      <c r="G68">
        <v>0.77569999999999995</v>
      </c>
      <c r="H68">
        <v>24</v>
      </c>
      <c r="I68">
        <v>0</v>
      </c>
      <c r="J68">
        <v>24</v>
      </c>
      <c r="K68">
        <v>73</v>
      </c>
      <c r="L68">
        <v>90</v>
      </c>
      <c r="M68">
        <v>17</v>
      </c>
      <c r="O68">
        <v>22</v>
      </c>
    </row>
    <row r="69" spans="1:15" x14ac:dyDescent="0.35">
      <c r="A69" t="s">
        <v>60</v>
      </c>
      <c r="B69" t="s">
        <v>84</v>
      </c>
      <c r="C69">
        <v>25</v>
      </c>
      <c r="D69">
        <v>35</v>
      </c>
      <c r="E69">
        <v>69</v>
      </c>
      <c r="F69">
        <v>33</v>
      </c>
      <c r="G69">
        <v>0.59419999999999995</v>
      </c>
      <c r="H69">
        <v>7</v>
      </c>
      <c r="I69">
        <v>21</v>
      </c>
      <c r="J69">
        <v>28</v>
      </c>
      <c r="K69">
        <v>67</v>
      </c>
      <c r="L69">
        <v>43</v>
      </c>
      <c r="M69">
        <v>0</v>
      </c>
      <c r="O69">
        <v>1</v>
      </c>
    </row>
    <row r="70" spans="1:15" x14ac:dyDescent="0.35">
      <c r="A70" t="s">
        <v>60</v>
      </c>
      <c r="B70" t="s">
        <v>85</v>
      </c>
      <c r="C70">
        <v>29</v>
      </c>
      <c r="D70">
        <v>36</v>
      </c>
      <c r="E70">
        <v>63</v>
      </c>
      <c r="F70">
        <v>42</v>
      </c>
      <c r="G70">
        <v>0.73019999999999996</v>
      </c>
      <c r="H70">
        <v>9</v>
      </c>
      <c r="I70">
        <v>8</v>
      </c>
      <c r="J70">
        <v>17</v>
      </c>
      <c r="K70">
        <v>67</v>
      </c>
      <c r="L70">
        <v>49</v>
      </c>
      <c r="M70">
        <v>4</v>
      </c>
      <c r="O70">
        <v>4</v>
      </c>
    </row>
    <row r="71" spans="1:15" x14ac:dyDescent="0.35">
      <c r="A71" t="s">
        <v>60</v>
      </c>
      <c r="B71" t="s">
        <v>86</v>
      </c>
      <c r="C71">
        <v>35</v>
      </c>
      <c r="D71">
        <v>61</v>
      </c>
      <c r="E71">
        <v>68</v>
      </c>
      <c r="F71">
        <v>56</v>
      </c>
      <c r="G71">
        <v>0.92649999999999999</v>
      </c>
      <c r="H71">
        <v>5</v>
      </c>
      <c r="I71">
        <v>0</v>
      </c>
      <c r="J71">
        <v>5</v>
      </c>
      <c r="K71">
        <v>47</v>
      </c>
      <c r="L71">
        <v>56</v>
      </c>
      <c r="M71">
        <v>2</v>
      </c>
      <c r="O71">
        <v>55</v>
      </c>
    </row>
    <row r="72" spans="1:15" x14ac:dyDescent="0.35">
      <c r="A72" t="s">
        <v>60</v>
      </c>
      <c r="B72" t="s">
        <v>87</v>
      </c>
      <c r="C72">
        <v>18</v>
      </c>
      <c r="D72">
        <v>57</v>
      </c>
      <c r="E72">
        <v>60</v>
      </c>
      <c r="F72">
        <v>47</v>
      </c>
      <c r="G72">
        <v>0.85</v>
      </c>
      <c r="H72">
        <v>9</v>
      </c>
      <c r="I72">
        <v>0</v>
      </c>
      <c r="J72">
        <v>9</v>
      </c>
      <c r="K72">
        <v>41</v>
      </c>
      <c r="L72">
        <v>53</v>
      </c>
      <c r="M72">
        <v>0</v>
      </c>
      <c r="O72">
        <v>45</v>
      </c>
    </row>
    <row r="73" spans="1:15" x14ac:dyDescent="0.35">
      <c r="A73" t="s">
        <v>60</v>
      </c>
      <c r="B73" t="s">
        <v>88</v>
      </c>
      <c r="C73">
        <v>6</v>
      </c>
      <c r="D73">
        <v>25</v>
      </c>
      <c r="E73">
        <v>32</v>
      </c>
      <c r="F73">
        <v>22</v>
      </c>
      <c r="G73">
        <v>0.75</v>
      </c>
      <c r="H73">
        <v>6</v>
      </c>
      <c r="I73">
        <v>2</v>
      </c>
      <c r="J73">
        <v>8</v>
      </c>
      <c r="K73">
        <v>23</v>
      </c>
      <c r="L73">
        <v>37</v>
      </c>
      <c r="M73">
        <v>0</v>
      </c>
      <c r="O73">
        <v>1</v>
      </c>
    </row>
    <row r="74" spans="1:15" x14ac:dyDescent="0.35">
      <c r="A74" t="s">
        <v>60</v>
      </c>
      <c r="B74" t="s">
        <v>89</v>
      </c>
      <c r="C74">
        <v>31</v>
      </c>
      <c r="D74">
        <v>34</v>
      </c>
      <c r="E74">
        <v>56</v>
      </c>
      <c r="F74">
        <v>36</v>
      </c>
      <c r="G74">
        <v>0.75</v>
      </c>
      <c r="H74">
        <v>8</v>
      </c>
      <c r="I74">
        <v>6</v>
      </c>
      <c r="J74">
        <v>14</v>
      </c>
      <c r="K74">
        <v>52</v>
      </c>
      <c r="L74">
        <v>42</v>
      </c>
      <c r="M74">
        <v>7</v>
      </c>
      <c r="O74">
        <v>6</v>
      </c>
    </row>
    <row r="75" spans="1:15" x14ac:dyDescent="0.35">
      <c r="A75" t="s">
        <v>60</v>
      </c>
      <c r="B75" t="s">
        <v>90</v>
      </c>
      <c r="C75">
        <v>23</v>
      </c>
      <c r="D75">
        <v>37</v>
      </c>
      <c r="E75">
        <v>59</v>
      </c>
      <c r="F75">
        <v>43</v>
      </c>
      <c r="G75">
        <v>0.86439999999999995</v>
      </c>
      <c r="H75">
        <v>8</v>
      </c>
      <c r="I75">
        <v>0</v>
      </c>
      <c r="J75">
        <v>8</v>
      </c>
      <c r="K75">
        <v>46</v>
      </c>
      <c r="L75">
        <v>42</v>
      </c>
      <c r="M75">
        <v>10</v>
      </c>
      <c r="O75">
        <v>26</v>
      </c>
    </row>
    <row r="76" spans="1:15" x14ac:dyDescent="0.35">
      <c r="A76" t="s">
        <v>60</v>
      </c>
      <c r="B76" t="s">
        <v>91</v>
      </c>
      <c r="C76">
        <v>9</v>
      </c>
      <c r="D76">
        <v>2</v>
      </c>
      <c r="E76">
        <v>12</v>
      </c>
      <c r="F76">
        <v>4</v>
      </c>
      <c r="G76">
        <v>0.41670000000000001</v>
      </c>
      <c r="H76">
        <v>6</v>
      </c>
      <c r="I76">
        <v>1</v>
      </c>
      <c r="J76">
        <v>7</v>
      </c>
      <c r="K76">
        <v>17</v>
      </c>
      <c r="L76">
        <v>6</v>
      </c>
      <c r="M76">
        <v>0</v>
      </c>
      <c r="O76">
        <v>0</v>
      </c>
    </row>
    <row r="77" spans="1:15" x14ac:dyDescent="0.35">
      <c r="A77" t="s">
        <v>61</v>
      </c>
      <c r="B77" t="s">
        <v>77</v>
      </c>
      <c r="C77">
        <v>20</v>
      </c>
      <c r="D77">
        <v>9</v>
      </c>
      <c r="E77">
        <v>27</v>
      </c>
      <c r="F77">
        <v>9</v>
      </c>
      <c r="G77">
        <v>0.37</v>
      </c>
      <c r="H77">
        <v>16</v>
      </c>
      <c r="I77">
        <v>1</v>
      </c>
      <c r="J77">
        <v>17</v>
      </c>
      <c r="K77">
        <v>43</v>
      </c>
      <c r="L77">
        <v>16</v>
      </c>
      <c r="M77">
        <v>0</v>
      </c>
      <c r="O77">
        <v>0</v>
      </c>
    </row>
    <row r="78" spans="1:15" x14ac:dyDescent="0.35">
      <c r="A78" t="s">
        <v>61</v>
      </c>
      <c r="B78" t="s">
        <v>78</v>
      </c>
      <c r="C78">
        <v>63</v>
      </c>
      <c r="D78">
        <v>72</v>
      </c>
      <c r="E78">
        <v>122</v>
      </c>
      <c r="F78">
        <v>55</v>
      </c>
      <c r="G78">
        <v>0.6</v>
      </c>
      <c r="H78">
        <v>6</v>
      </c>
      <c r="I78">
        <v>43</v>
      </c>
      <c r="J78">
        <v>49</v>
      </c>
      <c r="K78">
        <v>134</v>
      </c>
      <c r="L78">
        <v>50</v>
      </c>
      <c r="M78">
        <v>8</v>
      </c>
      <c r="O78">
        <v>27</v>
      </c>
    </row>
    <row r="79" spans="1:15" x14ac:dyDescent="0.35">
      <c r="A79" t="s">
        <v>61</v>
      </c>
      <c r="B79" t="s">
        <v>79</v>
      </c>
      <c r="C79">
        <v>9</v>
      </c>
      <c r="D79">
        <v>42</v>
      </c>
      <c r="E79">
        <v>48</v>
      </c>
      <c r="F79">
        <v>35</v>
      </c>
      <c r="G79">
        <v>0.73</v>
      </c>
      <c r="H79">
        <v>13</v>
      </c>
      <c r="I79">
        <v>0</v>
      </c>
      <c r="J79">
        <v>13</v>
      </c>
      <c r="K79">
        <v>36</v>
      </c>
      <c r="L79">
        <v>22</v>
      </c>
      <c r="M79">
        <v>9</v>
      </c>
      <c r="O79">
        <v>19</v>
      </c>
    </row>
    <row r="80" spans="1:15" x14ac:dyDescent="0.35">
      <c r="A80" t="s">
        <v>61</v>
      </c>
      <c r="B80" t="s">
        <v>80</v>
      </c>
      <c r="C80">
        <v>33</v>
      </c>
      <c r="D80">
        <v>43</v>
      </c>
      <c r="E80">
        <v>64</v>
      </c>
      <c r="F80">
        <v>34</v>
      </c>
      <c r="G80">
        <v>0.61</v>
      </c>
      <c r="H80">
        <v>25</v>
      </c>
      <c r="I80">
        <v>0</v>
      </c>
      <c r="J80">
        <v>25</v>
      </c>
      <c r="K80">
        <v>105</v>
      </c>
      <c r="L80">
        <v>59</v>
      </c>
      <c r="M80">
        <v>0</v>
      </c>
      <c r="O80">
        <v>3</v>
      </c>
    </row>
    <row r="81" spans="1:15" x14ac:dyDescent="0.35">
      <c r="A81" t="s">
        <v>61</v>
      </c>
      <c r="B81" t="s">
        <v>81</v>
      </c>
      <c r="C81">
        <v>22</v>
      </c>
      <c r="D81">
        <v>38</v>
      </c>
      <c r="E81">
        <v>59</v>
      </c>
      <c r="F81">
        <v>39</v>
      </c>
      <c r="G81">
        <v>0.75</v>
      </c>
      <c r="H81">
        <v>14</v>
      </c>
      <c r="I81">
        <v>1</v>
      </c>
      <c r="J81">
        <v>15</v>
      </c>
      <c r="K81">
        <v>116</v>
      </c>
      <c r="L81">
        <v>53</v>
      </c>
      <c r="M81">
        <v>8</v>
      </c>
      <c r="O81">
        <v>4</v>
      </c>
    </row>
    <row r="82" spans="1:15" x14ac:dyDescent="0.35">
      <c r="A82" t="s">
        <v>61</v>
      </c>
      <c r="B82" t="s">
        <v>82</v>
      </c>
      <c r="C82">
        <v>13</v>
      </c>
      <c r="D82">
        <v>43</v>
      </c>
      <c r="E82">
        <v>67</v>
      </c>
      <c r="F82">
        <v>39</v>
      </c>
      <c r="G82">
        <v>0.61</v>
      </c>
      <c r="H82">
        <v>10</v>
      </c>
      <c r="I82">
        <v>16</v>
      </c>
      <c r="J82">
        <v>26</v>
      </c>
      <c r="K82">
        <v>1</v>
      </c>
      <c r="L82">
        <v>12</v>
      </c>
      <c r="M82">
        <v>0</v>
      </c>
      <c r="O82">
        <v>0</v>
      </c>
    </row>
    <row r="83" spans="1:15" x14ac:dyDescent="0.35">
      <c r="A83" t="s">
        <v>61</v>
      </c>
      <c r="B83" t="s">
        <v>83</v>
      </c>
      <c r="C83">
        <v>72</v>
      </c>
      <c r="D83">
        <v>69</v>
      </c>
      <c r="E83">
        <v>104</v>
      </c>
      <c r="F83">
        <v>75</v>
      </c>
      <c r="G83">
        <v>0.81</v>
      </c>
      <c r="H83">
        <v>17</v>
      </c>
      <c r="I83">
        <v>3</v>
      </c>
      <c r="J83">
        <v>20</v>
      </c>
      <c r="K83">
        <v>70</v>
      </c>
      <c r="L83">
        <v>58</v>
      </c>
      <c r="M83">
        <v>21</v>
      </c>
      <c r="O83">
        <v>25</v>
      </c>
    </row>
    <row r="84" spans="1:15" x14ac:dyDescent="0.35">
      <c r="A84" t="s">
        <v>61</v>
      </c>
      <c r="B84" t="s">
        <v>84</v>
      </c>
      <c r="C84">
        <v>22</v>
      </c>
      <c r="D84">
        <v>36</v>
      </c>
      <c r="E84">
        <v>68</v>
      </c>
      <c r="F84">
        <v>37</v>
      </c>
      <c r="G84">
        <v>0.59</v>
      </c>
      <c r="H84">
        <v>0</v>
      </c>
      <c r="I84">
        <v>28</v>
      </c>
      <c r="J84">
        <v>28</v>
      </c>
      <c r="K84">
        <v>63</v>
      </c>
      <c r="L84">
        <v>29</v>
      </c>
      <c r="M84">
        <v>0</v>
      </c>
      <c r="O84">
        <v>2</v>
      </c>
    </row>
    <row r="85" spans="1:15" x14ac:dyDescent="0.35">
      <c r="A85" t="s">
        <v>61</v>
      </c>
      <c r="B85" t="s">
        <v>85</v>
      </c>
      <c r="C85">
        <v>20</v>
      </c>
      <c r="D85">
        <v>37</v>
      </c>
      <c r="E85">
        <v>58</v>
      </c>
      <c r="F85">
        <v>40</v>
      </c>
      <c r="G85">
        <v>0.78</v>
      </c>
      <c r="H85">
        <v>7</v>
      </c>
      <c r="I85">
        <v>6</v>
      </c>
      <c r="J85">
        <v>13</v>
      </c>
      <c r="K85">
        <v>42</v>
      </c>
      <c r="L85">
        <v>36</v>
      </c>
      <c r="M85">
        <v>7</v>
      </c>
      <c r="O85">
        <v>5</v>
      </c>
    </row>
    <row r="86" spans="1:15" x14ac:dyDescent="0.35">
      <c r="A86" t="s">
        <v>61</v>
      </c>
      <c r="B86" t="s">
        <v>86</v>
      </c>
      <c r="C86">
        <v>29</v>
      </c>
      <c r="D86">
        <v>47</v>
      </c>
      <c r="E86">
        <v>59</v>
      </c>
      <c r="F86">
        <v>55</v>
      </c>
      <c r="G86">
        <v>0.97</v>
      </c>
      <c r="H86">
        <v>2</v>
      </c>
      <c r="I86">
        <v>0</v>
      </c>
      <c r="J86">
        <v>2</v>
      </c>
      <c r="K86">
        <v>64</v>
      </c>
      <c r="L86">
        <v>63</v>
      </c>
      <c r="M86">
        <v>2</v>
      </c>
      <c r="O86">
        <v>55</v>
      </c>
    </row>
    <row r="87" spans="1:15" x14ac:dyDescent="0.35">
      <c r="A87" t="s">
        <v>61</v>
      </c>
      <c r="B87" t="s">
        <v>87</v>
      </c>
      <c r="C87">
        <v>37</v>
      </c>
      <c r="D87">
        <v>47</v>
      </c>
      <c r="E87">
        <v>62</v>
      </c>
      <c r="F87">
        <v>59</v>
      </c>
      <c r="G87">
        <v>0.98</v>
      </c>
      <c r="H87">
        <v>1</v>
      </c>
      <c r="I87">
        <v>0</v>
      </c>
      <c r="J87">
        <v>1</v>
      </c>
      <c r="K87">
        <v>90</v>
      </c>
      <c r="L87">
        <v>37</v>
      </c>
      <c r="M87">
        <v>6</v>
      </c>
      <c r="O87">
        <v>59</v>
      </c>
    </row>
    <row r="88" spans="1:15" x14ac:dyDescent="0.35">
      <c r="A88" t="s">
        <v>61</v>
      </c>
      <c r="B88" t="s">
        <v>88</v>
      </c>
      <c r="C88">
        <v>18</v>
      </c>
      <c r="D88">
        <v>21</v>
      </c>
      <c r="E88">
        <v>33</v>
      </c>
      <c r="F88">
        <v>24</v>
      </c>
      <c r="G88">
        <v>0.73</v>
      </c>
      <c r="H88">
        <v>9</v>
      </c>
      <c r="I88">
        <v>0</v>
      </c>
      <c r="J88">
        <v>9</v>
      </c>
      <c r="K88">
        <v>24</v>
      </c>
      <c r="L88">
        <v>24</v>
      </c>
      <c r="M88">
        <v>0</v>
      </c>
      <c r="O88">
        <v>4</v>
      </c>
    </row>
    <row r="89" spans="1:15" x14ac:dyDescent="0.35">
      <c r="A89" t="s">
        <v>61</v>
      </c>
      <c r="B89" t="s">
        <v>89</v>
      </c>
      <c r="C89">
        <v>12</v>
      </c>
      <c r="D89">
        <v>30</v>
      </c>
      <c r="E89">
        <v>50</v>
      </c>
      <c r="F89">
        <v>29</v>
      </c>
      <c r="G89">
        <v>0.78</v>
      </c>
      <c r="H89">
        <v>6</v>
      </c>
      <c r="I89">
        <v>5</v>
      </c>
      <c r="J89">
        <v>11</v>
      </c>
      <c r="K89">
        <v>54</v>
      </c>
      <c r="L89">
        <v>39</v>
      </c>
      <c r="M89">
        <v>8</v>
      </c>
      <c r="O89">
        <v>5</v>
      </c>
    </row>
    <row r="90" spans="1:15" x14ac:dyDescent="0.35">
      <c r="A90" t="s">
        <v>61</v>
      </c>
      <c r="B90" t="s">
        <v>90</v>
      </c>
      <c r="C90">
        <v>21</v>
      </c>
      <c r="D90">
        <v>33</v>
      </c>
      <c r="E90">
        <v>43</v>
      </c>
      <c r="F90">
        <v>29</v>
      </c>
      <c r="G90">
        <v>0.74</v>
      </c>
      <c r="H90">
        <v>11</v>
      </c>
      <c r="I90">
        <v>0</v>
      </c>
      <c r="J90">
        <v>11</v>
      </c>
      <c r="K90">
        <v>43</v>
      </c>
      <c r="L90">
        <v>16</v>
      </c>
      <c r="M90">
        <v>7</v>
      </c>
      <c r="O90">
        <v>29</v>
      </c>
    </row>
    <row r="91" spans="1:15" x14ac:dyDescent="0.35">
      <c r="A91" t="s">
        <v>61</v>
      </c>
      <c r="B91" t="s">
        <v>91</v>
      </c>
      <c r="C91">
        <v>3</v>
      </c>
      <c r="D91">
        <v>4</v>
      </c>
      <c r="E91">
        <v>11</v>
      </c>
      <c r="F91">
        <v>2</v>
      </c>
      <c r="G91">
        <v>0.18</v>
      </c>
      <c r="H91">
        <v>7</v>
      </c>
      <c r="I91">
        <v>2</v>
      </c>
      <c r="J91">
        <v>9</v>
      </c>
      <c r="K91">
        <v>134</v>
      </c>
      <c r="L91">
        <v>50</v>
      </c>
      <c r="M91">
        <v>0</v>
      </c>
      <c r="O91">
        <v>0</v>
      </c>
    </row>
    <row r="92" spans="1:15" x14ac:dyDescent="0.35">
      <c r="A92" t="s">
        <v>62</v>
      </c>
      <c r="B92" t="s">
        <v>77</v>
      </c>
      <c r="C92">
        <v>11</v>
      </c>
      <c r="D92">
        <v>5</v>
      </c>
      <c r="E92">
        <v>26</v>
      </c>
      <c r="F92">
        <v>6</v>
      </c>
      <c r="G92">
        <v>0.23080000000000001</v>
      </c>
      <c r="H92">
        <v>18</v>
      </c>
      <c r="I92">
        <v>2</v>
      </c>
      <c r="J92">
        <v>20</v>
      </c>
      <c r="K92">
        <v>58</v>
      </c>
      <c r="L92">
        <v>12</v>
      </c>
      <c r="M92">
        <v>0</v>
      </c>
      <c r="O92">
        <v>0</v>
      </c>
    </row>
    <row r="93" spans="1:15" x14ac:dyDescent="0.35">
      <c r="A93" t="s">
        <v>62</v>
      </c>
      <c r="B93" t="s">
        <v>78</v>
      </c>
      <c r="C93">
        <v>47</v>
      </c>
      <c r="D93">
        <v>47</v>
      </c>
      <c r="E93">
        <v>107</v>
      </c>
      <c r="F93">
        <v>46</v>
      </c>
      <c r="G93">
        <v>0.48599999999999999</v>
      </c>
      <c r="H93">
        <v>48</v>
      </c>
      <c r="I93">
        <v>7</v>
      </c>
      <c r="J93">
        <v>55</v>
      </c>
      <c r="K93">
        <v>119</v>
      </c>
      <c r="L93">
        <v>86</v>
      </c>
      <c r="M93">
        <v>137</v>
      </c>
      <c r="O93">
        <v>19</v>
      </c>
    </row>
    <row r="94" spans="1:15" x14ac:dyDescent="0.35">
      <c r="A94" t="s">
        <v>62</v>
      </c>
      <c r="B94" t="s">
        <v>79</v>
      </c>
      <c r="C94">
        <v>14</v>
      </c>
      <c r="D94">
        <v>34</v>
      </c>
      <c r="E94">
        <v>55</v>
      </c>
      <c r="F94">
        <v>52</v>
      </c>
      <c r="G94">
        <v>0.94550000000000001</v>
      </c>
      <c r="H94">
        <v>3</v>
      </c>
      <c r="I94">
        <v>0</v>
      </c>
      <c r="J94">
        <v>3</v>
      </c>
      <c r="K94">
        <v>34</v>
      </c>
      <c r="L94">
        <v>53</v>
      </c>
      <c r="M94">
        <v>64</v>
      </c>
      <c r="O94">
        <v>34</v>
      </c>
    </row>
    <row r="95" spans="1:15" x14ac:dyDescent="0.35">
      <c r="A95" t="s">
        <v>62</v>
      </c>
      <c r="B95" t="s">
        <v>80</v>
      </c>
      <c r="C95">
        <v>23</v>
      </c>
      <c r="D95">
        <v>29</v>
      </c>
      <c r="E95">
        <v>61</v>
      </c>
      <c r="F95">
        <v>41</v>
      </c>
      <c r="G95">
        <v>0.70489999999999997</v>
      </c>
      <c r="H95">
        <v>18</v>
      </c>
      <c r="I95">
        <v>0</v>
      </c>
      <c r="J95">
        <v>18</v>
      </c>
      <c r="K95">
        <v>79</v>
      </c>
      <c r="L95">
        <v>45</v>
      </c>
      <c r="M95">
        <v>49</v>
      </c>
      <c r="O95">
        <v>4</v>
      </c>
    </row>
    <row r="96" spans="1:15" x14ac:dyDescent="0.35">
      <c r="A96" t="s">
        <v>62</v>
      </c>
      <c r="B96" t="s">
        <v>81</v>
      </c>
      <c r="C96">
        <v>23</v>
      </c>
      <c r="D96">
        <v>26</v>
      </c>
      <c r="E96">
        <v>49</v>
      </c>
      <c r="F96">
        <v>28</v>
      </c>
      <c r="G96">
        <v>0.57140000000000002</v>
      </c>
      <c r="H96">
        <v>21</v>
      </c>
      <c r="I96">
        <v>0</v>
      </c>
      <c r="J96">
        <v>21</v>
      </c>
      <c r="K96">
        <v>80</v>
      </c>
      <c r="L96">
        <v>54</v>
      </c>
      <c r="M96">
        <v>55</v>
      </c>
      <c r="O96">
        <v>5</v>
      </c>
    </row>
    <row r="97" spans="1:15" x14ac:dyDescent="0.35">
      <c r="A97" t="s">
        <v>62</v>
      </c>
      <c r="B97" t="s">
        <v>82</v>
      </c>
      <c r="C97">
        <v>13</v>
      </c>
      <c r="D97">
        <v>24</v>
      </c>
      <c r="E97">
        <v>56</v>
      </c>
      <c r="F97">
        <v>31</v>
      </c>
      <c r="G97">
        <v>0.625</v>
      </c>
      <c r="H97">
        <v>8</v>
      </c>
      <c r="I97">
        <v>13</v>
      </c>
      <c r="J97">
        <v>21</v>
      </c>
      <c r="K97">
        <v>15</v>
      </c>
      <c r="L97">
        <v>48</v>
      </c>
      <c r="M97">
        <v>52</v>
      </c>
      <c r="O97">
        <v>0</v>
      </c>
    </row>
    <row r="98" spans="1:15" x14ac:dyDescent="0.35">
      <c r="A98" t="s">
        <v>62</v>
      </c>
      <c r="B98" t="s">
        <v>83</v>
      </c>
      <c r="C98">
        <v>27</v>
      </c>
      <c r="D98">
        <v>47</v>
      </c>
      <c r="E98">
        <v>72</v>
      </c>
      <c r="F98">
        <v>34</v>
      </c>
      <c r="G98">
        <v>0.51390000000000002</v>
      </c>
      <c r="H98">
        <v>29</v>
      </c>
      <c r="I98">
        <v>6</v>
      </c>
      <c r="J98">
        <v>35</v>
      </c>
      <c r="K98">
        <v>85</v>
      </c>
      <c r="L98">
        <v>75</v>
      </c>
      <c r="M98">
        <v>88</v>
      </c>
      <c r="O98">
        <v>5</v>
      </c>
    </row>
    <row r="99" spans="1:15" x14ac:dyDescent="0.35">
      <c r="A99" t="s">
        <v>62</v>
      </c>
      <c r="B99" t="s">
        <v>84</v>
      </c>
      <c r="C99">
        <v>18</v>
      </c>
      <c r="D99">
        <v>22</v>
      </c>
      <c r="E99">
        <v>51</v>
      </c>
      <c r="F99">
        <v>5</v>
      </c>
      <c r="G99">
        <v>0.13730000000000001</v>
      </c>
      <c r="H99">
        <v>31</v>
      </c>
      <c r="I99">
        <v>13</v>
      </c>
      <c r="J99">
        <v>44</v>
      </c>
      <c r="K99">
        <v>60</v>
      </c>
      <c r="L99">
        <v>40</v>
      </c>
      <c r="M99">
        <v>41</v>
      </c>
      <c r="O99">
        <v>2</v>
      </c>
    </row>
    <row r="100" spans="1:15" x14ac:dyDescent="0.35">
      <c r="A100" t="s">
        <v>62</v>
      </c>
      <c r="B100" t="s">
        <v>85</v>
      </c>
      <c r="C100">
        <v>14</v>
      </c>
      <c r="D100">
        <v>20</v>
      </c>
      <c r="E100">
        <v>31</v>
      </c>
      <c r="F100">
        <v>17</v>
      </c>
      <c r="G100">
        <v>0.6452</v>
      </c>
      <c r="H100">
        <v>8</v>
      </c>
      <c r="I100">
        <v>3</v>
      </c>
      <c r="J100">
        <v>11</v>
      </c>
      <c r="K100">
        <v>41</v>
      </c>
      <c r="L100">
        <v>38</v>
      </c>
      <c r="M100">
        <v>22</v>
      </c>
      <c r="O100">
        <v>2</v>
      </c>
    </row>
    <row r="101" spans="1:15" x14ac:dyDescent="0.35">
      <c r="A101" t="s">
        <v>62</v>
      </c>
      <c r="B101" t="s">
        <v>86</v>
      </c>
      <c r="C101">
        <v>8</v>
      </c>
      <c r="D101">
        <v>32</v>
      </c>
      <c r="E101">
        <v>29</v>
      </c>
      <c r="F101">
        <v>28</v>
      </c>
      <c r="G101">
        <v>0.96550000000000002</v>
      </c>
      <c r="H101">
        <v>1</v>
      </c>
      <c r="I101">
        <v>0</v>
      </c>
      <c r="J101">
        <v>1</v>
      </c>
      <c r="K101">
        <v>50</v>
      </c>
      <c r="L101">
        <v>45</v>
      </c>
      <c r="M101">
        <v>31</v>
      </c>
      <c r="O101">
        <v>28</v>
      </c>
    </row>
    <row r="102" spans="1:15" x14ac:dyDescent="0.35">
      <c r="A102" t="s">
        <v>62</v>
      </c>
      <c r="B102" t="s">
        <v>87</v>
      </c>
      <c r="C102">
        <v>11</v>
      </c>
      <c r="D102">
        <v>28</v>
      </c>
      <c r="E102">
        <v>28</v>
      </c>
      <c r="F102">
        <v>19</v>
      </c>
      <c r="G102">
        <v>0.67859999999999998</v>
      </c>
      <c r="H102">
        <v>9</v>
      </c>
      <c r="I102">
        <v>0</v>
      </c>
      <c r="J102">
        <v>9</v>
      </c>
      <c r="K102">
        <v>60</v>
      </c>
      <c r="L102">
        <v>44</v>
      </c>
      <c r="M102">
        <v>32</v>
      </c>
      <c r="O102">
        <v>19</v>
      </c>
    </row>
    <row r="103" spans="1:15" x14ac:dyDescent="0.35">
      <c r="A103" t="s">
        <v>62</v>
      </c>
      <c r="B103" t="s">
        <v>88</v>
      </c>
      <c r="C103">
        <v>6</v>
      </c>
      <c r="D103">
        <v>12</v>
      </c>
      <c r="E103">
        <v>18</v>
      </c>
      <c r="F103">
        <v>11</v>
      </c>
      <c r="G103">
        <v>0.72219999999999995</v>
      </c>
      <c r="H103">
        <v>5</v>
      </c>
      <c r="I103">
        <v>0</v>
      </c>
      <c r="J103">
        <v>5</v>
      </c>
      <c r="K103">
        <v>22</v>
      </c>
      <c r="L103">
        <v>41</v>
      </c>
      <c r="M103">
        <v>4</v>
      </c>
      <c r="O103">
        <v>4</v>
      </c>
    </row>
    <row r="104" spans="1:15" x14ac:dyDescent="0.35">
      <c r="A104" t="s">
        <v>62</v>
      </c>
      <c r="B104" t="s">
        <v>89</v>
      </c>
      <c r="C104">
        <v>13</v>
      </c>
      <c r="D104">
        <v>20</v>
      </c>
      <c r="E104">
        <v>34</v>
      </c>
      <c r="F104">
        <v>13</v>
      </c>
      <c r="G104">
        <v>0.44119999999999998</v>
      </c>
      <c r="H104">
        <v>10</v>
      </c>
      <c r="I104">
        <v>9</v>
      </c>
      <c r="J104">
        <v>19</v>
      </c>
      <c r="K104">
        <v>43</v>
      </c>
      <c r="L104">
        <v>37</v>
      </c>
      <c r="M104">
        <v>30</v>
      </c>
      <c r="O104">
        <v>2</v>
      </c>
    </row>
    <row r="105" spans="1:15" x14ac:dyDescent="0.35">
      <c r="A105" t="s">
        <v>62</v>
      </c>
      <c r="B105" t="s">
        <v>90</v>
      </c>
      <c r="C105">
        <v>23</v>
      </c>
      <c r="D105">
        <v>20</v>
      </c>
      <c r="E105">
        <v>36</v>
      </c>
      <c r="F105">
        <v>6</v>
      </c>
      <c r="G105">
        <v>0.36109999999999998</v>
      </c>
      <c r="H105">
        <v>20</v>
      </c>
      <c r="I105">
        <v>3</v>
      </c>
      <c r="J105">
        <v>23</v>
      </c>
      <c r="K105">
        <v>24</v>
      </c>
      <c r="L105">
        <v>38</v>
      </c>
      <c r="M105">
        <v>39</v>
      </c>
      <c r="O105">
        <v>6</v>
      </c>
    </row>
    <row r="106" spans="1:15" x14ac:dyDescent="0.35">
      <c r="A106" t="s">
        <v>62</v>
      </c>
      <c r="B106" t="s">
        <v>91</v>
      </c>
      <c r="C106">
        <v>7</v>
      </c>
      <c r="D106">
        <v>1</v>
      </c>
      <c r="E106">
        <v>11</v>
      </c>
      <c r="F106">
        <v>4</v>
      </c>
      <c r="G106">
        <v>0.36359999999999998</v>
      </c>
      <c r="H106">
        <v>7</v>
      </c>
      <c r="I106">
        <v>0</v>
      </c>
      <c r="J106">
        <v>7</v>
      </c>
      <c r="K106">
        <v>15</v>
      </c>
      <c r="L106">
        <v>6</v>
      </c>
      <c r="M106">
        <v>3</v>
      </c>
      <c r="O106">
        <v>0</v>
      </c>
    </row>
    <row r="107" spans="1:15" x14ac:dyDescent="0.35">
      <c r="A107" t="s">
        <v>63</v>
      </c>
      <c r="B107" t="s">
        <v>77</v>
      </c>
      <c r="C107">
        <v>44</v>
      </c>
      <c r="D107">
        <v>13</v>
      </c>
      <c r="E107">
        <v>32</v>
      </c>
      <c r="F107">
        <v>17</v>
      </c>
      <c r="G107">
        <v>0.53125</v>
      </c>
      <c r="H107">
        <v>12</v>
      </c>
      <c r="I107">
        <v>3</v>
      </c>
      <c r="J107">
        <v>15</v>
      </c>
      <c r="K107">
        <v>39</v>
      </c>
      <c r="L107">
        <v>8</v>
      </c>
      <c r="M107">
        <v>0</v>
      </c>
      <c r="O107">
        <v>0</v>
      </c>
    </row>
    <row r="108" spans="1:15" x14ac:dyDescent="0.35">
      <c r="A108" t="s">
        <v>63</v>
      </c>
      <c r="B108" t="s">
        <v>78</v>
      </c>
      <c r="C108">
        <v>121</v>
      </c>
      <c r="D108">
        <v>89</v>
      </c>
      <c r="E108">
        <v>139</v>
      </c>
      <c r="F108">
        <v>87</v>
      </c>
      <c r="G108">
        <v>0.69064700000000001</v>
      </c>
      <c r="H108">
        <v>40</v>
      </c>
      <c r="I108">
        <v>3</v>
      </c>
      <c r="J108">
        <v>43</v>
      </c>
      <c r="K108">
        <v>86</v>
      </c>
      <c r="L108">
        <v>57</v>
      </c>
      <c r="M108">
        <v>169</v>
      </c>
      <c r="O108">
        <v>33</v>
      </c>
    </row>
    <row r="109" spans="1:15" x14ac:dyDescent="0.35">
      <c r="A109" t="s">
        <v>63</v>
      </c>
      <c r="B109" t="s">
        <v>79</v>
      </c>
      <c r="C109">
        <v>21</v>
      </c>
      <c r="D109">
        <v>22</v>
      </c>
      <c r="E109">
        <v>22</v>
      </c>
      <c r="F109">
        <v>21</v>
      </c>
      <c r="G109">
        <v>0.95454499999999998</v>
      </c>
      <c r="H109">
        <v>1</v>
      </c>
      <c r="I109">
        <v>0</v>
      </c>
      <c r="J109">
        <v>1</v>
      </c>
      <c r="K109">
        <v>37</v>
      </c>
      <c r="L109">
        <v>40</v>
      </c>
      <c r="M109">
        <v>26</v>
      </c>
      <c r="O109">
        <v>21</v>
      </c>
    </row>
    <row r="110" spans="1:15" x14ac:dyDescent="0.35">
      <c r="A110" t="s">
        <v>63</v>
      </c>
      <c r="B110" t="s">
        <v>80</v>
      </c>
      <c r="C110">
        <v>66</v>
      </c>
      <c r="D110">
        <v>54</v>
      </c>
      <c r="E110">
        <v>61</v>
      </c>
      <c r="F110">
        <v>42</v>
      </c>
      <c r="G110">
        <v>0.73770500000000006</v>
      </c>
      <c r="H110">
        <v>16</v>
      </c>
      <c r="I110">
        <v>0</v>
      </c>
      <c r="J110">
        <v>16</v>
      </c>
      <c r="K110">
        <v>48</v>
      </c>
      <c r="L110">
        <v>32</v>
      </c>
      <c r="M110">
        <v>40</v>
      </c>
      <c r="O110">
        <v>2</v>
      </c>
    </row>
    <row r="111" spans="1:15" x14ac:dyDescent="0.35">
      <c r="A111" t="s">
        <v>63</v>
      </c>
      <c r="B111" t="s">
        <v>81</v>
      </c>
      <c r="C111">
        <v>58</v>
      </c>
      <c r="D111">
        <v>54</v>
      </c>
      <c r="E111">
        <v>66</v>
      </c>
      <c r="F111">
        <v>36</v>
      </c>
      <c r="G111">
        <v>0.57575799999999999</v>
      </c>
      <c r="H111">
        <v>19</v>
      </c>
      <c r="I111">
        <v>9</v>
      </c>
      <c r="J111">
        <v>28</v>
      </c>
      <c r="K111">
        <v>87</v>
      </c>
      <c r="L111">
        <v>35</v>
      </c>
      <c r="M111">
        <v>63</v>
      </c>
      <c r="O111">
        <v>4</v>
      </c>
    </row>
    <row r="112" spans="1:15" x14ac:dyDescent="0.35">
      <c r="A112" t="s">
        <v>63</v>
      </c>
      <c r="B112" t="s">
        <v>82</v>
      </c>
      <c r="C112">
        <v>12</v>
      </c>
      <c r="D112">
        <v>23</v>
      </c>
      <c r="E112">
        <v>49</v>
      </c>
      <c r="F112">
        <v>37</v>
      </c>
      <c r="G112">
        <v>0.79591800000000001</v>
      </c>
      <c r="H112">
        <v>6</v>
      </c>
      <c r="I112">
        <v>4</v>
      </c>
      <c r="J112">
        <v>10</v>
      </c>
      <c r="K112">
        <v>24</v>
      </c>
      <c r="L112">
        <v>34</v>
      </c>
      <c r="M112">
        <v>41</v>
      </c>
      <c r="O112">
        <v>0</v>
      </c>
    </row>
    <row r="113" spans="1:15" x14ac:dyDescent="0.35">
      <c r="A113" t="s">
        <v>63</v>
      </c>
      <c r="B113" t="s">
        <v>83</v>
      </c>
      <c r="C113">
        <v>73</v>
      </c>
      <c r="D113">
        <v>90</v>
      </c>
      <c r="E113">
        <v>115</v>
      </c>
      <c r="F113">
        <v>77</v>
      </c>
      <c r="G113">
        <v>0.72173900000000002</v>
      </c>
      <c r="H113">
        <v>29</v>
      </c>
      <c r="I113">
        <v>3</v>
      </c>
      <c r="J113">
        <v>32</v>
      </c>
      <c r="K113">
        <v>85</v>
      </c>
      <c r="L113">
        <v>49</v>
      </c>
      <c r="M113">
        <v>120</v>
      </c>
      <c r="O113">
        <v>24</v>
      </c>
    </row>
    <row r="114" spans="1:15" x14ac:dyDescent="0.35">
      <c r="A114" t="s">
        <v>63</v>
      </c>
      <c r="B114" t="s">
        <v>84</v>
      </c>
      <c r="C114">
        <v>67</v>
      </c>
      <c r="D114">
        <v>43</v>
      </c>
      <c r="E114">
        <v>85</v>
      </c>
      <c r="F114">
        <v>41</v>
      </c>
      <c r="G114">
        <v>0.54117599999999999</v>
      </c>
      <c r="H114">
        <v>24</v>
      </c>
      <c r="I114">
        <v>15</v>
      </c>
      <c r="J114">
        <v>39</v>
      </c>
      <c r="K114">
        <v>38</v>
      </c>
      <c r="L114">
        <v>30</v>
      </c>
      <c r="M114">
        <v>59</v>
      </c>
      <c r="O114">
        <v>2</v>
      </c>
    </row>
    <row r="115" spans="1:15" x14ac:dyDescent="0.35">
      <c r="A115" t="s">
        <v>63</v>
      </c>
      <c r="B115" t="s">
        <v>85</v>
      </c>
      <c r="C115">
        <v>67</v>
      </c>
      <c r="D115">
        <v>49</v>
      </c>
      <c r="E115">
        <v>61</v>
      </c>
      <c r="F115">
        <v>30</v>
      </c>
      <c r="G115">
        <v>0.52459</v>
      </c>
      <c r="H115">
        <v>14</v>
      </c>
      <c r="I115">
        <v>15</v>
      </c>
      <c r="J115">
        <v>29</v>
      </c>
      <c r="K115">
        <v>23</v>
      </c>
      <c r="L115">
        <v>28</v>
      </c>
      <c r="M115">
        <v>48</v>
      </c>
      <c r="O115">
        <v>5</v>
      </c>
    </row>
    <row r="116" spans="1:15" x14ac:dyDescent="0.35">
      <c r="A116" t="s">
        <v>63</v>
      </c>
      <c r="B116" t="s">
        <v>86</v>
      </c>
      <c r="C116">
        <v>47</v>
      </c>
      <c r="D116">
        <v>56</v>
      </c>
      <c r="E116">
        <v>55</v>
      </c>
      <c r="F116">
        <v>47</v>
      </c>
      <c r="G116">
        <v>0.94545500000000005</v>
      </c>
      <c r="H116">
        <v>3</v>
      </c>
      <c r="I116">
        <v>0</v>
      </c>
      <c r="J116">
        <v>3</v>
      </c>
      <c r="K116">
        <v>48</v>
      </c>
      <c r="L116">
        <v>29</v>
      </c>
      <c r="M116">
        <v>44</v>
      </c>
      <c r="O116">
        <v>47</v>
      </c>
    </row>
    <row r="117" spans="1:15" x14ac:dyDescent="0.35">
      <c r="A117" t="s">
        <v>63</v>
      </c>
      <c r="B117" t="s">
        <v>87</v>
      </c>
      <c r="C117">
        <v>41</v>
      </c>
      <c r="D117">
        <v>53</v>
      </c>
      <c r="E117">
        <v>61</v>
      </c>
      <c r="F117">
        <v>60</v>
      </c>
      <c r="G117">
        <v>1</v>
      </c>
      <c r="H117">
        <v>0</v>
      </c>
      <c r="I117">
        <v>0</v>
      </c>
      <c r="J117">
        <v>0</v>
      </c>
      <c r="K117">
        <v>35</v>
      </c>
      <c r="L117">
        <v>28</v>
      </c>
      <c r="M117">
        <v>57</v>
      </c>
      <c r="O117">
        <v>60</v>
      </c>
    </row>
    <row r="118" spans="1:15" x14ac:dyDescent="0.35">
      <c r="A118" t="s">
        <v>63</v>
      </c>
      <c r="B118" t="s">
        <v>88</v>
      </c>
      <c r="C118">
        <v>23</v>
      </c>
      <c r="D118">
        <v>37</v>
      </c>
      <c r="E118">
        <v>35</v>
      </c>
      <c r="F118">
        <v>27</v>
      </c>
      <c r="G118">
        <v>0.77142900000000003</v>
      </c>
      <c r="H118">
        <v>6</v>
      </c>
      <c r="I118">
        <v>2</v>
      </c>
      <c r="J118">
        <v>8</v>
      </c>
      <c r="K118">
        <v>23</v>
      </c>
      <c r="L118">
        <v>35</v>
      </c>
      <c r="M118">
        <v>12</v>
      </c>
      <c r="O118">
        <v>12</v>
      </c>
    </row>
    <row r="119" spans="1:15" x14ac:dyDescent="0.35">
      <c r="A119" t="s">
        <v>63</v>
      </c>
      <c r="B119" t="s">
        <v>89</v>
      </c>
      <c r="C119">
        <v>52</v>
      </c>
      <c r="D119">
        <v>42</v>
      </c>
      <c r="E119">
        <v>62</v>
      </c>
      <c r="F119">
        <v>40</v>
      </c>
      <c r="G119">
        <v>0.53225800000000001</v>
      </c>
      <c r="H119">
        <v>18</v>
      </c>
      <c r="I119">
        <v>11</v>
      </c>
      <c r="J119">
        <v>29</v>
      </c>
      <c r="K119">
        <v>41</v>
      </c>
      <c r="L119">
        <v>30</v>
      </c>
      <c r="M119">
        <v>53</v>
      </c>
      <c r="O119">
        <v>6</v>
      </c>
    </row>
    <row r="120" spans="1:15" x14ac:dyDescent="0.35">
      <c r="A120" t="s">
        <v>63</v>
      </c>
      <c r="B120" t="s">
        <v>90</v>
      </c>
      <c r="C120">
        <v>46</v>
      </c>
      <c r="D120">
        <v>42</v>
      </c>
      <c r="E120">
        <v>63</v>
      </c>
      <c r="F120">
        <v>46</v>
      </c>
      <c r="G120">
        <v>0.80952400000000002</v>
      </c>
      <c r="H120">
        <v>11</v>
      </c>
      <c r="I120">
        <v>1</v>
      </c>
      <c r="J120">
        <v>12</v>
      </c>
      <c r="K120">
        <v>26</v>
      </c>
      <c r="L120">
        <v>28</v>
      </c>
      <c r="M120">
        <v>58</v>
      </c>
      <c r="O120">
        <v>39</v>
      </c>
    </row>
    <row r="121" spans="1:15" x14ac:dyDescent="0.35">
      <c r="A121" t="s">
        <v>63</v>
      </c>
      <c r="B121" t="s">
        <v>91</v>
      </c>
      <c r="C121">
        <v>17</v>
      </c>
      <c r="D121">
        <v>6</v>
      </c>
      <c r="E121">
        <v>11</v>
      </c>
      <c r="F121">
        <v>4</v>
      </c>
      <c r="G121">
        <v>0.36363600000000001</v>
      </c>
      <c r="H121">
        <v>5</v>
      </c>
      <c r="I121">
        <v>2</v>
      </c>
      <c r="J121">
        <v>7</v>
      </c>
      <c r="K121">
        <v>21</v>
      </c>
      <c r="L121">
        <v>4</v>
      </c>
      <c r="M121">
        <v>0</v>
      </c>
      <c r="O121">
        <v>0</v>
      </c>
    </row>
    <row r="122" spans="1:15" x14ac:dyDescent="0.35">
      <c r="A122" t="s">
        <v>92</v>
      </c>
      <c r="B122" t="s">
        <v>77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O122">
        <v>0</v>
      </c>
    </row>
    <row r="123" spans="1:15" x14ac:dyDescent="0.35">
      <c r="A123" t="s">
        <v>92</v>
      </c>
      <c r="B123" t="s">
        <v>78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O123">
        <v>0</v>
      </c>
    </row>
    <row r="124" spans="1:15" x14ac:dyDescent="0.35">
      <c r="A124" t="s">
        <v>92</v>
      </c>
      <c r="B124" t="s">
        <v>79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O124">
        <v>0</v>
      </c>
    </row>
    <row r="125" spans="1:15" x14ac:dyDescent="0.35">
      <c r="A125" t="s">
        <v>92</v>
      </c>
      <c r="B125" t="s">
        <v>80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O125">
        <v>0</v>
      </c>
    </row>
    <row r="126" spans="1:15" x14ac:dyDescent="0.35">
      <c r="A126" t="s">
        <v>92</v>
      </c>
      <c r="B126" t="s">
        <v>81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O126">
        <v>0</v>
      </c>
    </row>
    <row r="127" spans="1:15" x14ac:dyDescent="0.35">
      <c r="A127" t="s">
        <v>92</v>
      </c>
      <c r="B127" t="s">
        <v>82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O127">
        <v>0</v>
      </c>
    </row>
    <row r="128" spans="1:15" x14ac:dyDescent="0.35">
      <c r="A128" t="s">
        <v>92</v>
      </c>
      <c r="B128" t="s">
        <v>83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O128">
        <v>0</v>
      </c>
    </row>
    <row r="129" spans="1:15" x14ac:dyDescent="0.35">
      <c r="A129" t="s">
        <v>92</v>
      </c>
      <c r="B129" t="s">
        <v>84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O129">
        <v>0</v>
      </c>
    </row>
    <row r="130" spans="1:15" x14ac:dyDescent="0.35">
      <c r="A130" t="s">
        <v>92</v>
      </c>
      <c r="B130" t="s">
        <v>85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O130">
        <v>0</v>
      </c>
    </row>
    <row r="131" spans="1:15" x14ac:dyDescent="0.35">
      <c r="A131" t="s">
        <v>92</v>
      </c>
      <c r="B131" t="s">
        <v>86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O131">
        <v>0</v>
      </c>
    </row>
    <row r="132" spans="1:15" x14ac:dyDescent="0.35">
      <c r="A132" t="s">
        <v>92</v>
      </c>
      <c r="B132" t="s">
        <v>87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O132">
        <v>0</v>
      </c>
    </row>
    <row r="133" spans="1:15" x14ac:dyDescent="0.35">
      <c r="A133" t="s">
        <v>92</v>
      </c>
      <c r="B133" t="s">
        <v>88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O133">
        <v>0</v>
      </c>
    </row>
    <row r="134" spans="1:15" x14ac:dyDescent="0.35">
      <c r="A134" t="s">
        <v>92</v>
      </c>
      <c r="B134" t="s">
        <v>89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O134">
        <v>0</v>
      </c>
    </row>
    <row r="135" spans="1:15" x14ac:dyDescent="0.35">
      <c r="A135" t="s">
        <v>92</v>
      </c>
      <c r="B135" t="s">
        <v>90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O135">
        <v>0</v>
      </c>
    </row>
    <row r="136" spans="1:15" x14ac:dyDescent="0.35">
      <c r="A136" t="s">
        <v>92</v>
      </c>
      <c r="B136" t="s">
        <v>91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O136">
        <v>0</v>
      </c>
    </row>
    <row r="137" spans="1:15" x14ac:dyDescent="0.35">
      <c r="A137" t="s">
        <v>105</v>
      </c>
      <c r="B137" t="s">
        <v>77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O137">
        <v>0</v>
      </c>
    </row>
    <row r="138" spans="1:15" x14ac:dyDescent="0.35">
      <c r="A138" t="s">
        <v>105</v>
      </c>
      <c r="B138" t="s">
        <v>78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O138">
        <v>0</v>
      </c>
    </row>
    <row r="139" spans="1:15" x14ac:dyDescent="0.35">
      <c r="A139" t="s">
        <v>105</v>
      </c>
      <c r="B139" t="s">
        <v>79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O139">
        <v>0</v>
      </c>
    </row>
    <row r="140" spans="1:15" x14ac:dyDescent="0.35">
      <c r="A140" t="s">
        <v>105</v>
      </c>
      <c r="B140" t="s">
        <v>80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O140">
        <v>0</v>
      </c>
    </row>
    <row r="141" spans="1:15" x14ac:dyDescent="0.35">
      <c r="A141" t="s">
        <v>105</v>
      </c>
      <c r="B141" t="s">
        <v>81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O141">
        <v>0</v>
      </c>
    </row>
    <row r="142" spans="1:15" x14ac:dyDescent="0.35">
      <c r="A142" t="s">
        <v>105</v>
      </c>
      <c r="B142" t="s">
        <v>82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O142">
        <v>0</v>
      </c>
    </row>
    <row r="143" spans="1:15" x14ac:dyDescent="0.35">
      <c r="A143" t="s">
        <v>105</v>
      </c>
      <c r="B143" t="s">
        <v>83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O143">
        <v>0</v>
      </c>
    </row>
    <row r="144" spans="1:15" x14ac:dyDescent="0.35">
      <c r="A144" t="s">
        <v>105</v>
      </c>
      <c r="B144" t="s">
        <v>84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O144">
        <v>0</v>
      </c>
    </row>
    <row r="145" spans="1:15" x14ac:dyDescent="0.35">
      <c r="A145" t="s">
        <v>105</v>
      </c>
      <c r="B145" t="s">
        <v>85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O145">
        <v>0</v>
      </c>
    </row>
    <row r="146" spans="1:15" x14ac:dyDescent="0.35">
      <c r="A146" t="s">
        <v>105</v>
      </c>
      <c r="B146" t="s">
        <v>86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O146">
        <v>0</v>
      </c>
    </row>
    <row r="147" spans="1:15" x14ac:dyDescent="0.35">
      <c r="A147" t="s">
        <v>105</v>
      </c>
      <c r="B147" t="s">
        <v>87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O147">
        <v>0</v>
      </c>
    </row>
    <row r="148" spans="1:15" x14ac:dyDescent="0.35">
      <c r="A148" t="s">
        <v>105</v>
      </c>
      <c r="B148" t="s">
        <v>88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O148">
        <v>0</v>
      </c>
    </row>
    <row r="149" spans="1:15" x14ac:dyDescent="0.35">
      <c r="A149" t="s">
        <v>105</v>
      </c>
      <c r="B149" t="s">
        <v>89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O149">
        <v>0</v>
      </c>
    </row>
    <row r="150" spans="1:15" x14ac:dyDescent="0.35">
      <c r="A150" t="s">
        <v>105</v>
      </c>
      <c r="B150" t="s">
        <v>90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O150">
        <v>0</v>
      </c>
    </row>
    <row r="151" spans="1:15" x14ac:dyDescent="0.35">
      <c r="A151" t="s">
        <v>105</v>
      </c>
      <c r="B151" t="s">
        <v>91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O151">
        <v>0</v>
      </c>
    </row>
    <row r="152" spans="1:15" x14ac:dyDescent="0.35">
      <c r="A152" t="s">
        <v>106</v>
      </c>
      <c r="B152" t="s">
        <v>77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O152">
        <v>0</v>
      </c>
    </row>
    <row r="153" spans="1:15" x14ac:dyDescent="0.35">
      <c r="A153" t="s">
        <v>106</v>
      </c>
      <c r="B153" t="s">
        <v>78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O153">
        <v>0</v>
      </c>
    </row>
    <row r="154" spans="1:15" x14ac:dyDescent="0.35">
      <c r="A154" t="s">
        <v>106</v>
      </c>
      <c r="B154" t="s">
        <v>79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O154">
        <v>0</v>
      </c>
    </row>
    <row r="155" spans="1:15" x14ac:dyDescent="0.35">
      <c r="A155" t="s">
        <v>106</v>
      </c>
      <c r="B155" t="s">
        <v>80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O155">
        <v>0</v>
      </c>
    </row>
    <row r="156" spans="1:15" x14ac:dyDescent="0.35">
      <c r="A156" t="s">
        <v>106</v>
      </c>
      <c r="B156" t="s">
        <v>81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O156">
        <v>0</v>
      </c>
    </row>
    <row r="157" spans="1:15" x14ac:dyDescent="0.35">
      <c r="A157" t="s">
        <v>106</v>
      </c>
      <c r="B157" t="s">
        <v>82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O157">
        <v>0</v>
      </c>
    </row>
    <row r="158" spans="1:15" x14ac:dyDescent="0.35">
      <c r="A158" t="s">
        <v>106</v>
      </c>
      <c r="B158" t="s">
        <v>83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O158">
        <v>0</v>
      </c>
    </row>
    <row r="159" spans="1:15" x14ac:dyDescent="0.35">
      <c r="A159" t="s">
        <v>106</v>
      </c>
      <c r="B159" t="s">
        <v>84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O159">
        <v>0</v>
      </c>
    </row>
    <row r="160" spans="1:15" x14ac:dyDescent="0.35">
      <c r="A160" t="s">
        <v>106</v>
      </c>
      <c r="B160" t="s">
        <v>85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O160">
        <v>0</v>
      </c>
    </row>
    <row r="161" spans="1:15" x14ac:dyDescent="0.35">
      <c r="A161" t="s">
        <v>106</v>
      </c>
      <c r="B161" t="s">
        <v>86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O161">
        <v>0</v>
      </c>
    </row>
    <row r="162" spans="1:15" x14ac:dyDescent="0.35">
      <c r="A162" t="s">
        <v>106</v>
      </c>
      <c r="B162" t="s">
        <v>87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O162">
        <v>0</v>
      </c>
    </row>
    <row r="163" spans="1:15" x14ac:dyDescent="0.35">
      <c r="A163" t="s">
        <v>106</v>
      </c>
      <c r="B163" t="s">
        <v>88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O163">
        <v>0</v>
      </c>
    </row>
    <row r="164" spans="1:15" x14ac:dyDescent="0.35">
      <c r="A164" t="s">
        <v>106</v>
      </c>
      <c r="B164" t="s">
        <v>89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O164">
        <v>0</v>
      </c>
    </row>
    <row r="165" spans="1:15" x14ac:dyDescent="0.35">
      <c r="A165" t="s">
        <v>106</v>
      </c>
      <c r="B165" t="s">
        <v>90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O165">
        <v>0</v>
      </c>
    </row>
    <row r="166" spans="1:15" x14ac:dyDescent="0.35">
      <c r="A166" t="s">
        <v>106</v>
      </c>
      <c r="B166" t="s">
        <v>91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O166">
        <v>0</v>
      </c>
    </row>
    <row r="167" spans="1:15" x14ac:dyDescent="0.35">
      <c r="A167" t="s">
        <v>107</v>
      </c>
      <c r="B167" t="s">
        <v>77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O167">
        <v>0</v>
      </c>
    </row>
    <row r="168" spans="1:15" x14ac:dyDescent="0.35">
      <c r="A168" t="s">
        <v>107</v>
      </c>
      <c r="B168" t="s">
        <v>78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O168">
        <v>0</v>
      </c>
    </row>
    <row r="169" spans="1:15" x14ac:dyDescent="0.35">
      <c r="A169" t="s">
        <v>107</v>
      </c>
      <c r="B169" t="s">
        <v>79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O169">
        <v>0</v>
      </c>
    </row>
    <row r="170" spans="1:15" x14ac:dyDescent="0.35">
      <c r="A170" t="s">
        <v>107</v>
      </c>
      <c r="B170" t="s">
        <v>80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O170">
        <v>0</v>
      </c>
    </row>
    <row r="171" spans="1:15" x14ac:dyDescent="0.35">
      <c r="A171" t="s">
        <v>107</v>
      </c>
      <c r="B171" t="s">
        <v>81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O171">
        <v>0</v>
      </c>
    </row>
    <row r="172" spans="1:15" x14ac:dyDescent="0.35">
      <c r="A172" t="s">
        <v>107</v>
      </c>
      <c r="B172" t="s">
        <v>82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O172">
        <v>0</v>
      </c>
    </row>
    <row r="173" spans="1:15" x14ac:dyDescent="0.35">
      <c r="A173" t="s">
        <v>107</v>
      </c>
      <c r="B173" t="s">
        <v>83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O173">
        <v>0</v>
      </c>
    </row>
    <row r="174" spans="1:15" x14ac:dyDescent="0.35">
      <c r="A174" t="s">
        <v>107</v>
      </c>
      <c r="B174" t="s">
        <v>84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O174">
        <v>0</v>
      </c>
    </row>
    <row r="175" spans="1:15" x14ac:dyDescent="0.35">
      <c r="A175" t="s">
        <v>107</v>
      </c>
      <c r="B175" t="s">
        <v>85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O175">
        <v>0</v>
      </c>
    </row>
    <row r="176" spans="1:15" x14ac:dyDescent="0.35">
      <c r="A176" t="s">
        <v>107</v>
      </c>
      <c r="B176" t="s">
        <v>86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O176">
        <v>0</v>
      </c>
    </row>
    <row r="177" spans="1:15" x14ac:dyDescent="0.35">
      <c r="A177" t="s">
        <v>107</v>
      </c>
      <c r="B177" t="s">
        <v>87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O177">
        <v>0</v>
      </c>
    </row>
    <row r="178" spans="1:15" x14ac:dyDescent="0.35">
      <c r="A178" t="s">
        <v>107</v>
      </c>
      <c r="B178" t="s">
        <v>88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O178">
        <v>0</v>
      </c>
    </row>
    <row r="179" spans="1:15" x14ac:dyDescent="0.35">
      <c r="A179" t="s">
        <v>107</v>
      </c>
      <c r="B179" t="s">
        <v>89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O179">
        <v>0</v>
      </c>
    </row>
    <row r="180" spans="1:15" x14ac:dyDescent="0.35">
      <c r="A180" t="s">
        <v>107</v>
      </c>
      <c r="B180" t="s">
        <v>90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O180">
        <v>0</v>
      </c>
    </row>
    <row r="181" spans="1:15" x14ac:dyDescent="0.35">
      <c r="A181" t="s">
        <v>107</v>
      </c>
      <c r="B181" t="s">
        <v>91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O181">
        <v>0</v>
      </c>
    </row>
    <row r="182" spans="1:15" x14ac:dyDescent="0.35">
      <c r="A182" t="s">
        <v>101</v>
      </c>
      <c r="B182" t="s">
        <v>77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O182">
        <v>0</v>
      </c>
    </row>
    <row r="183" spans="1:15" x14ac:dyDescent="0.35">
      <c r="A183" t="s">
        <v>101</v>
      </c>
      <c r="B183" t="s">
        <v>78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O183">
        <v>0</v>
      </c>
    </row>
    <row r="184" spans="1:15" x14ac:dyDescent="0.35">
      <c r="A184" t="s">
        <v>101</v>
      </c>
      <c r="B184" t="s">
        <v>79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O184">
        <v>0</v>
      </c>
    </row>
    <row r="185" spans="1:15" x14ac:dyDescent="0.35">
      <c r="A185" t="s">
        <v>101</v>
      </c>
      <c r="B185" t="s">
        <v>80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O185">
        <v>0</v>
      </c>
    </row>
    <row r="186" spans="1:15" x14ac:dyDescent="0.35">
      <c r="A186" t="s">
        <v>101</v>
      </c>
      <c r="B186" t="s">
        <v>81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O186">
        <v>0</v>
      </c>
    </row>
    <row r="187" spans="1:15" x14ac:dyDescent="0.35">
      <c r="A187" t="s">
        <v>101</v>
      </c>
      <c r="B187" t="s">
        <v>82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O187">
        <v>0</v>
      </c>
    </row>
    <row r="188" spans="1:15" x14ac:dyDescent="0.35">
      <c r="A188" t="s">
        <v>101</v>
      </c>
      <c r="B188" t="s">
        <v>83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O188">
        <v>0</v>
      </c>
    </row>
    <row r="189" spans="1:15" x14ac:dyDescent="0.35">
      <c r="A189" t="s">
        <v>101</v>
      </c>
      <c r="B189" t="s">
        <v>84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O189">
        <v>0</v>
      </c>
    </row>
    <row r="190" spans="1:15" x14ac:dyDescent="0.35">
      <c r="A190" t="s">
        <v>101</v>
      </c>
      <c r="B190" t="s">
        <v>85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O190">
        <v>0</v>
      </c>
    </row>
    <row r="191" spans="1:15" x14ac:dyDescent="0.35">
      <c r="A191" t="s">
        <v>101</v>
      </c>
      <c r="B191" t="s">
        <v>86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O191">
        <v>0</v>
      </c>
    </row>
    <row r="192" spans="1:15" x14ac:dyDescent="0.35">
      <c r="A192" t="s">
        <v>101</v>
      </c>
      <c r="B192" t="s">
        <v>87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O192">
        <v>0</v>
      </c>
    </row>
    <row r="193" spans="1:15" x14ac:dyDescent="0.35">
      <c r="A193" t="s">
        <v>101</v>
      </c>
      <c r="B193" t="s">
        <v>88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O193">
        <v>0</v>
      </c>
    </row>
    <row r="194" spans="1:15" x14ac:dyDescent="0.35">
      <c r="A194" t="s">
        <v>101</v>
      </c>
      <c r="B194" t="s">
        <v>89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O194">
        <v>0</v>
      </c>
    </row>
    <row r="195" spans="1:15" x14ac:dyDescent="0.35">
      <c r="A195" t="s">
        <v>101</v>
      </c>
      <c r="B195" t="s">
        <v>90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O195">
        <v>0</v>
      </c>
    </row>
    <row r="196" spans="1:15" x14ac:dyDescent="0.35">
      <c r="A196" t="s">
        <v>101</v>
      </c>
      <c r="B196" t="s">
        <v>91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O196">
        <v>0</v>
      </c>
    </row>
    <row r="197" spans="1:15" x14ac:dyDescent="0.35">
      <c r="A197" t="s">
        <v>102</v>
      </c>
      <c r="B197" t="s">
        <v>77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O197">
        <v>0</v>
      </c>
    </row>
    <row r="198" spans="1:15" x14ac:dyDescent="0.35">
      <c r="A198" t="s">
        <v>102</v>
      </c>
      <c r="B198" t="s">
        <v>78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O198">
        <v>0</v>
      </c>
    </row>
    <row r="199" spans="1:15" x14ac:dyDescent="0.35">
      <c r="A199" t="s">
        <v>102</v>
      </c>
      <c r="B199" t="s">
        <v>79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O199">
        <v>0</v>
      </c>
    </row>
    <row r="200" spans="1:15" x14ac:dyDescent="0.35">
      <c r="A200" t="s">
        <v>102</v>
      </c>
      <c r="B200" t="s">
        <v>80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O200">
        <v>0</v>
      </c>
    </row>
    <row r="201" spans="1:15" x14ac:dyDescent="0.35">
      <c r="A201" t="s">
        <v>102</v>
      </c>
      <c r="B201" t="s">
        <v>81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O201">
        <v>0</v>
      </c>
    </row>
    <row r="202" spans="1:15" x14ac:dyDescent="0.35">
      <c r="A202" t="s">
        <v>102</v>
      </c>
      <c r="B202" t="s">
        <v>82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O202">
        <v>0</v>
      </c>
    </row>
    <row r="203" spans="1:15" x14ac:dyDescent="0.35">
      <c r="A203" t="s">
        <v>102</v>
      </c>
      <c r="B203" t="s">
        <v>83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0</v>
      </c>
    </row>
    <row r="204" spans="1:15" x14ac:dyDescent="0.35">
      <c r="A204" t="s">
        <v>102</v>
      </c>
      <c r="B204" t="s">
        <v>84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0</v>
      </c>
    </row>
    <row r="205" spans="1:15" x14ac:dyDescent="0.35">
      <c r="A205" t="s">
        <v>102</v>
      </c>
      <c r="B205" t="s">
        <v>85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O205">
        <v>0</v>
      </c>
    </row>
    <row r="206" spans="1:15" x14ac:dyDescent="0.35">
      <c r="A206" t="s">
        <v>102</v>
      </c>
      <c r="B206" t="s">
        <v>86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O206">
        <v>0</v>
      </c>
    </row>
    <row r="207" spans="1:15" x14ac:dyDescent="0.35">
      <c r="A207" t="s">
        <v>102</v>
      </c>
      <c r="B207" t="s">
        <v>87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O207">
        <v>0</v>
      </c>
    </row>
    <row r="208" spans="1:15" x14ac:dyDescent="0.35">
      <c r="A208" t="s">
        <v>102</v>
      </c>
      <c r="B208" t="s">
        <v>88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O208">
        <v>0</v>
      </c>
    </row>
    <row r="209" spans="1:15" x14ac:dyDescent="0.35">
      <c r="A209" t="s">
        <v>102</v>
      </c>
      <c r="B209" t="s">
        <v>89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O209">
        <v>0</v>
      </c>
    </row>
    <row r="210" spans="1:15" x14ac:dyDescent="0.35">
      <c r="A210" t="s">
        <v>102</v>
      </c>
      <c r="B210" t="s">
        <v>90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O210">
        <v>0</v>
      </c>
    </row>
    <row r="211" spans="1:15" x14ac:dyDescent="0.35">
      <c r="A211" t="s">
        <v>102</v>
      </c>
      <c r="B211" t="s">
        <v>91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O211">
        <v>0</v>
      </c>
    </row>
    <row r="212" spans="1:15" x14ac:dyDescent="0.35">
      <c r="A212" t="s">
        <v>103</v>
      </c>
      <c r="B212" t="s">
        <v>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O212">
        <v>0</v>
      </c>
    </row>
    <row r="213" spans="1:15" x14ac:dyDescent="0.35">
      <c r="A213" t="s">
        <v>103</v>
      </c>
      <c r="B213" t="s">
        <v>78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O213">
        <v>0</v>
      </c>
    </row>
    <row r="214" spans="1:15" x14ac:dyDescent="0.35">
      <c r="A214" t="s">
        <v>103</v>
      </c>
      <c r="B214" t="s">
        <v>79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O214">
        <v>0</v>
      </c>
    </row>
    <row r="215" spans="1:15" x14ac:dyDescent="0.35">
      <c r="A215" t="s">
        <v>103</v>
      </c>
      <c r="B215" t="s">
        <v>80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O215">
        <v>0</v>
      </c>
    </row>
    <row r="216" spans="1:15" x14ac:dyDescent="0.35">
      <c r="A216" t="s">
        <v>103</v>
      </c>
      <c r="B216" t="s">
        <v>81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O216">
        <v>0</v>
      </c>
    </row>
    <row r="217" spans="1:15" x14ac:dyDescent="0.35">
      <c r="A217" t="s">
        <v>103</v>
      </c>
      <c r="B217" t="s">
        <v>82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O217">
        <v>0</v>
      </c>
    </row>
    <row r="218" spans="1:15" x14ac:dyDescent="0.35">
      <c r="A218" t="s">
        <v>103</v>
      </c>
      <c r="B218" t="s">
        <v>83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O218">
        <v>0</v>
      </c>
    </row>
    <row r="219" spans="1:15" x14ac:dyDescent="0.35">
      <c r="A219" t="s">
        <v>103</v>
      </c>
      <c r="B219" t="s">
        <v>84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O219">
        <v>0</v>
      </c>
    </row>
    <row r="220" spans="1:15" x14ac:dyDescent="0.35">
      <c r="A220" t="s">
        <v>103</v>
      </c>
      <c r="B220" t="s">
        <v>85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O220">
        <v>0</v>
      </c>
    </row>
    <row r="221" spans="1:15" x14ac:dyDescent="0.35">
      <c r="A221" t="s">
        <v>103</v>
      </c>
      <c r="B221" t="s">
        <v>86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O221">
        <v>0</v>
      </c>
    </row>
    <row r="222" spans="1:15" x14ac:dyDescent="0.35">
      <c r="A222" t="s">
        <v>103</v>
      </c>
      <c r="B222" t="s">
        <v>87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O222">
        <v>0</v>
      </c>
    </row>
    <row r="223" spans="1:15" x14ac:dyDescent="0.35">
      <c r="A223" t="s">
        <v>103</v>
      </c>
      <c r="B223" t="s">
        <v>88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O223">
        <v>0</v>
      </c>
    </row>
    <row r="224" spans="1:15" x14ac:dyDescent="0.35">
      <c r="A224" t="s">
        <v>103</v>
      </c>
      <c r="B224" t="s">
        <v>89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O224">
        <v>0</v>
      </c>
    </row>
    <row r="225" spans="1:15" x14ac:dyDescent="0.35">
      <c r="A225" t="s">
        <v>103</v>
      </c>
      <c r="B225" t="s">
        <v>90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O225">
        <v>0</v>
      </c>
    </row>
    <row r="226" spans="1:15" x14ac:dyDescent="0.35">
      <c r="A226" t="s">
        <v>103</v>
      </c>
      <c r="B226" t="s">
        <v>91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O226">
        <v>0</v>
      </c>
    </row>
    <row r="227" spans="1:15" x14ac:dyDescent="0.35">
      <c r="A227" t="s">
        <v>104</v>
      </c>
      <c r="B227" t="s">
        <v>77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O227">
        <v>0</v>
      </c>
    </row>
    <row r="228" spans="1:15" x14ac:dyDescent="0.35">
      <c r="A228" t="s">
        <v>104</v>
      </c>
      <c r="B228" t="s">
        <v>78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O228">
        <v>0</v>
      </c>
    </row>
    <row r="229" spans="1:15" x14ac:dyDescent="0.35">
      <c r="A229" t="s">
        <v>104</v>
      </c>
      <c r="B229" t="s">
        <v>79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O229">
        <v>0</v>
      </c>
    </row>
    <row r="230" spans="1:15" x14ac:dyDescent="0.35">
      <c r="A230" t="s">
        <v>104</v>
      </c>
      <c r="B230" t="s">
        <v>80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O230">
        <v>0</v>
      </c>
    </row>
    <row r="231" spans="1:15" x14ac:dyDescent="0.35">
      <c r="A231" t="s">
        <v>104</v>
      </c>
      <c r="B231" t="s">
        <v>81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O231">
        <v>0</v>
      </c>
    </row>
    <row r="232" spans="1:15" x14ac:dyDescent="0.35">
      <c r="A232" t="s">
        <v>104</v>
      </c>
      <c r="B232" t="s">
        <v>82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O232">
        <v>0</v>
      </c>
    </row>
    <row r="233" spans="1:15" x14ac:dyDescent="0.35">
      <c r="A233" t="s">
        <v>104</v>
      </c>
      <c r="B233" t="s">
        <v>83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O233">
        <v>0</v>
      </c>
    </row>
    <row r="234" spans="1:15" x14ac:dyDescent="0.35">
      <c r="A234" t="s">
        <v>104</v>
      </c>
      <c r="B234" t="s">
        <v>84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O234">
        <v>0</v>
      </c>
    </row>
    <row r="235" spans="1:15" x14ac:dyDescent="0.35">
      <c r="A235" t="s">
        <v>104</v>
      </c>
      <c r="B235" t="s">
        <v>85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O235">
        <v>0</v>
      </c>
    </row>
    <row r="236" spans="1:15" x14ac:dyDescent="0.35">
      <c r="A236" t="s">
        <v>104</v>
      </c>
      <c r="B236" t="s">
        <v>86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O236">
        <v>0</v>
      </c>
    </row>
    <row r="237" spans="1:15" x14ac:dyDescent="0.35">
      <c r="A237" t="s">
        <v>104</v>
      </c>
      <c r="B237" t="s">
        <v>87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O237">
        <v>0</v>
      </c>
    </row>
    <row r="238" spans="1:15" x14ac:dyDescent="0.35">
      <c r="A238" t="s">
        <v>104</v>
      </c>
      <c r="B238" t="s">
        <v>88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O238">
        <v>0</v>
      </c>
    </row>
    <row r="239" spans="1:15" x14ac:dyDescent="0.35">
      <c r="A239" t="s">
        <v>104</v>
      </c>
      <c r="B239" t="s">
        <v>89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O239">
        <v>0</v>
      </c>
    </row>
    <row r="240" spans="1:15" x14ac:dyDescent="0.35">
      <c r="A240" t="s">
        <v>104</v>
      </c>
      <c r="B240" t="s">
        <v>90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O240">
        <v>0</v>
      </c>
    </row>
    <row r="241" spans="1:15" x14ac:dyDescent="0.35">
      <c r="A241" t="s">
        <v>104</v>
      </c>
      <c r="B241" t="s">
        <v>91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O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693C7-7FC9-45C3-81BF-4DCD63F3E060}">
  <sheetPr>
    <tabColor rgb="FF78909C"/>
  </sheetPr>
  <dimension ref="A1:L17"/>
  <sheetViews>
    <sheetView workbookViewId="0"/>
  </sheetViews>
  <sheetFormatPr defaultRowHeight="14.5" x14ac:dyDescent="0.35"/>
  <sheetData>
    <row r="1" spans="1:12" x14ac:dyDescent="0.35">
      <c r="A1" s="18" t="s">
        <v>56</v>
      </c>
      <c r="B1" s="18" t="s">
        <v>64</v>
      </c>
      <c r="C1" s="18" t="s">
        <v>65</v>
      </c>
      <c r="D1" s="18" t="s">
        <v>40</v>
      </c>
      <c r="E1" s="18" t="s">
        <v>66</v>
      </c>
      <c r="F1" s="18" t="s">
        <v>67</v>
      </c>
      <c r="G1" s="18" t="s">
        <v>68</v>
      </c>
      <c r="H1" s="18" t="s">
        <v>69</v>
      </c>
      <c r="I1" s="18" t="s">
        <v>73</v>
      </c>
      <c r="J1" s="18" t="s">
        <v>55</v>
      </c>
      <c r="K1" s="19" t="s">
        <v>70</v>
      </c>
      <c r="L1" s="18" t="s">
        <v>108</v>
      </c>
    </row>
    <row r="2" spans="1:12" x14ac:dyDescent="0.35">
      <c r="A2" t="s">
        <v>77</v>
      </c>
      <c r="B2" t="e">
        <f>IF(#REF!="كل الشهور",SUMIFS(بيانات_الفلتر!$E:$E,بيانات_الفلتر!$B:$B,A2),SUMIFS(بيانات_الفلتر!$E:$E,بيانات_الفلتر!$A:$A,#REF!,بيانات_الفلتر!$B:$B,A2))</f>
        <v>#REF!</v>
      </c>
      <c r="C2" t="e">
        <f>IF(#REF!="كل الشهور",SUMIFS(بيانات_الفلتر!$F:$F,بيانات_الفلتر!$B:$B,A2),SUMIFS(بيانات_الفلتر!$F:$F,بيانات_الفلتر!$A:$A,#REF!,بيانات_الفلتر!$B:$B,A2))</f>
        <v>#REF!</v>
      </c>
      <c r="D2" t="e">
        <f>IF(#REF!="كل الشهور",IFERROR(AVERAGEIFS(بيانات_الفلتر!$G:$G,بيانات_الفلتر!$B:$B,A2),0),IFERROR(AVERAGEIFS(بيانات_الفلتر!$G:$G,بيانات_الفلتر!$A:$A,#REF!,بيانات_الفلتر!$B:$B,A2),0))</f>
        <v>#REF!</v>
      </c>
      <c r="E2" t="e">
        <f>IF(#REF!="كل الشهور",SUMIFS(بيانات_الفلتر!$H:$H,بيانات_الفلتر!$B:$B,A2),SUMIFS(بيانات_الفلتر!$H:$H,بيانات_الفلتر!$A:$A,#REF!,بيانات_الفلتر!$B:$B,A2))</f>
        <v>#REF!</v>
      </c>
      <c r="F2" t="e">
        <f>IF(#REF!="كل الشهور",SUMIFS(بيانات_الفلتر!$I:$I,بيانات_الفلتر!$B:$B,A2),SUMIFS(بيانات_الفلتر!$I:$I,بيانات_الفلتر!$A:$A,#REF!,بيانات_الفلتر!$B:$B,A2))</f>
        <v>#REF!</v>
      </c>
      <c r="G2" t="e">
        <f>IF(#REF!="كل الشهور",SUMIFS(بيانات_الفلتر!$J:$J,بيانات_الفلتر!$B:$B,A2),SUMIFS(بيانات_الفلتر!$J:$J,بيانات_الفلتر!$A:$A,#REF!,بيانات_الفلتر!$B:$B,A2))</f>
        <v>#REF!</v>
      </c>
      <c r="H2" t="e">
        <f>IF(#REF!="كل الشهور",SUMIFS(بيانات_الفلتر!$C:$C,بيانات_الفلتر!$B:$B,A2),SUMIFS(بيانات_الفلتر!$C:$C,بيانات_الفلتر!$A:$A,#REF!,بيانات_الفلتر!$B:$B,A2))</f>
        <v>#REF!</v>
      </c>
      <c r="I2" t="e">
        <f>IF(#REF!="كل الشهور",SUMIFS(بيانات_الفلتر!$D:$D,بيانات_الفلتر!$B:$B,A2),SUMIFS(بيانات_الفلتر!$D:$D,بيانات_الفلتر!$A:$A,#REF!,بيانات_الفلتر!$B:$B,A2))</f>
        <v>#REF!</v>
      </c>
      <c r="J2" t="e">
        <f>IF(#REF!="كل الشهور",SUMIFS(بيانات_الفلتر!$M:$M,بيانات_الفلتر!$B:$B,A2),SUMIFS(بيانات_الفلتر!$M:$M,بيانات_الفلتر!$A:$A,#REF!,بيانات_الفلتر!$B:$B,A2))</f>
        <v>#REF!</v>
      </c>
      <c r="K2" t="e">
        <f>IF(#REF!="كل الشهور",SUMIFS(بيانات_الفلتر!$L:$L,بيانات_الفلتر!$B:$B,A2),SUMIFS(بيانات_الفلتر!$L:$L,بيانات_الفلتر!$A:$A,#REF!,بيانات_الفلتر!$B:$B,A2))</f>
        <v>#REF!</v>
      </c>
      <c r="L2" t="e">
        <f>IF(#REF!="كل الشهور",SUMIFS(بيانات_الفلتر!$O:$O,بيانات_الفلتر!$B:$B,A2),SUMIFS(بيانات_الفلتر!$O:$O,بيانات_الفلتر!$A:$A,#REF!,بيانات_الفلتر!$B:$B,A2))</f>
        <v>#REF!</v>
      </c>
    </row>
    <row r="3" spans="1:12" x14ac:dyDescent="0.35">
      <c r="A3" t="s">
        <v>78</v>
      </c>
      <c r="B3" t="e">
        <f>IF(#REF!="كل الشهور",SUMIFS(بيانات_الفلتر!$E:$E,بيانات_الفلتر!$B:$B,A3),SUMIFS(بيانات_الفلتر!$E:$E,بيانات_الفلتر!$A:$A,#REF!,بيانات_الفلتر!$B:$B,A3))</f>
        <v>#REF!</v>
      </c>
      <c r="C3" t="e">
        <f>IF(#REF!="كل الشهور",SUMIFS(بيانات_الفلتر!$F:$F,بيانات_الفلتر!$B:$B,A3),SUMIFS(بيانات_الفلتر!$F:$F,بيانات_الفلتر!$A:$A,#REF!,بيانات_الفلتر!$B:$B,A3))</f>
        <v>#REF!</v>
      </c>
      <c r="D3" t="e">
        <f>IF(#REF!="كل الشهور",IFERROR(AVERAGEIFS(بيانات_الفلتر!$G:$G,بيانات_الفلتر!$B:$B,A3),0),IFERROR(AVERAGEIFS(بيانات_الفلتر!$G:$G,بيانات_الفلتر!$A:$A,#REF!,بيانات_الفلتر!$B:$B,A3),0))</f>
        <v>#REF!</v>
      </c>
      <c r="E3" t="e">
        <f>IF(#REF!="كل الشهور",SUMIFS(بيانات_الفلتر!$H:$H,بيانات_الفلتر!$B:$B,A3),SUMIFS(بيانات_الفلتر!$H:$H,بيانات_الفلتر!$A:$A,#REF!,بيانات_الفلتر!$B:$B,A3))</f>
        <v>#REF!</v>
      </c>
      <c r="F3" t="e">
        <f>IF(#REF!="كل الشهور",SUMIFS(بيانات_الفلتر!$I:$I,بيانات_الفلتر!$B:$B,A3),SUMIFS(بيانات_الفلتر!$I:$I,بيانات_الفلتر!$A:$A,#REF!,بيانات_الفلتر!$B:$B,A3))</f>
        <v>#REF!</v>
      </c>
      <c r="G3" t="e">
        <f>IF(#REF!="كل الشهور",SUMIFS(بيانات_الفلتر!$J:$J,بيانات_الفلتر!$B:$B,A3),SUMIFS(بيانات_الفلتر!$J:$J,بيانات_الفلتر!$A:$A,#REF!,بيانات_الفلتر!$B:$B,A3))</f>
        <v>#REF!</v>
      </c>
      <c r="H3" t="e">
        <f>IF(#REF!="كل الشهور",SUMIFS(بيانات_الفلتر!$C:$C,بيانات_الفلتر!$B:$B,A3),SUMIFS(بيانات_الفلتر!$C:$C,بيانات_الفلتر!$A:$A,#REF!,بيانات_الفلتر!$B:$B,A3))</f>
        <v>#REF!</v>
      </c>
      <c r="I3" t="e">
        <f>IF(#REF!="كل الشهور",SUMIFS(بيانات_الفلتر!$D:$D,بيانات_الفلتر!$B:$B,A3),SUMIFS(بيانات_الفلتر!$D:$D,بيانات_الفلتر!$A:$A,#REF!,بيانات_الفلتر!$B:$B,A3))</f>
        <v>#REF!</v>
      </c>
      <c r="J3" t="e">
        <f>IF(#REF!="كل الشهور",SUMIFS(بيانات_الفلتر!$M:$M,بيانات_الفلتر!$B:$B,A3),SUMIFS(بيانات_الفلتر!$M:$M,بيانات_الفلتر!$A:$A,#REF!,بيانات_الفلتر!$B:$B,A3))</f>
        <v>#REF!</v>
      </c>
      <c r="K3" t="e">
        <f>IF(#REF!="كل الشهور",SUMIFS(بيانات_الفلتر!$L:$L,بيانات_الفلتر!$B:$B,A3),SUMIFS(بيانات_الفلتر!$L:$L,بيانات_الفلتر!$A:$A,#REF!,بيانات_الفلتر!$B:$B,A3))</f>
        <v>#REF!</v>
      </c>
      <c r="L3" t="e">
        <f>IF(#REF!="كل الشهور",SUMIFS(بيانات_الفلتر!$O:$O,بيانات_الفلتر!$B:$B,A3),SUMIFS(بيانات_الفلتر!$O:$O,بيانات_الفلتر!$A:$A,#REF!,بيانات_الفلتر!$B:$B,A3))</f>
        <v>#REF!</v>
      </c>
    </row>
    <row r="4" spans="1:12" x14ac:dyDescent="0.35">
      <c r="A4" t="s">
        <v>79</v>
      </c>
      <c r="B4" t="e">
        <f>IF(#REF!="كل الشهور",SUMIFS(بيانات_الفلتر!$E:$E,بيانات_الفلتر!$B:$B,A4),SUMIFS(بيانات_الفلتر!$E:$E,بيانات_الفلتر!$A:$A,#REF!,بيانات_الفلتر!$B:$B,A4))</f>
        <v>#REF!</v>
      </c>
      <c r="C4" t="e">
        <f>IF(#REF!="كل الشهور",SUMIFS(بيانات_الفلتر!$F:$F,بيانات_الفلتر!$B:$B,A4),SUMIFS(بيانات_الفلتر!$F:$F,بيانات_الفلتر!$A:$A,#REF!,بيانات_الفلتر!$B:$B,A4))</f>
        <v>#REF!</v>
      </c>
      <c r="D4" t="e">
        <f>IF(#REF!="كل الشهور",IFERROR(AVERAGEIFS(بيانات_الفلتر!$G:$G,بيانات_الفلتر!$B:$B,A4),0),IFERROR(AVERAGEIFS(بيانات_الفلتر!$G:$G,بيانات_الفلتر!$A:$A,#REF!,بيانات_الفلتر!$B:$B,A4),0))</f>
        <v>#REF!</v>
      </c>
      <c r="E4" t="e">
        <f>IF(#REF!="كل الشهور",SUMIFS(بيانات_الفلتر!$H:$H,بيانات_الفلتر!$B:$B,A4),SUMIFS(بيانات_الفلتر!$H:$H,بيانات_الفلتر!$A:$A,#REF!,بيانات_الفلتر!$B:$B,A4))</f>
        <v>#REF!</v>
      </c>
      <c r="F4" t="e">
        <f>IF(#REF!="كل الشهور",SUMIFS(بيانات_الفلتر!$I:$I,بيانات_الفلتر!$B:$B,A4),SUMIFS(بيانات_الفلتر!$I:$I,بيانات_الفلتر!$A:$A,#REF!,بيانات_الفلتر!$B:$B,A4))</f>
        <v>#REF!</v>
      </c>
      <c r="G4" t="e">
        <f>IF(#REF!="كل الشهور",SUMIFS(بيانات_الفلتر!$J:$J,بيانات_الفلتر!$B:$B,A4),SUMIFS(بيانات_الفلتر!$J:$J,بيانات_الفلتر!$A:$A,#REF!,بيانات_الفلتر!$B:$B,A4))</f>
        <v>#REF!</v>
      </c>
      <c r="H4" t="e">
        <f>IF(#REF!="كل الشهور",SUMIFS(بيانات_الفلتر!$C:$C,بيانات_الفلتر!$B:$B,A4),SUMIFS(بيانات_الفلتر!$C:$C,بيانات_الفلتر!$A:$A,#REF!,بيانات_الفلتر!$B:$B,A4))</f>
        <v>#REF!</v>
      </c>
      <c r="I4" t="e">
        <f>IF(#REF!="كل الشهور",SUMIFS(بيانات_الفلتر!$D:$D,بيانات_الفلتر!$B:$B,A4),SUMIFS(بيانات_الفلتر!$D:$D,بيانات_الفلتر!$A:$A,#REF!,بيانات_الفلتر!$B:$B,A4))</f>
        <v>#REF!</v>
      </c>
      <c r="J4" t="e">
        <f>IF(#REF!="كل الشهور",SUMIFS(بيانات_الفلتر!$M:$M,بيانات_الفلتر!$B:$B,A4),SUMIFS(بيانات_الفلتر!$M:$M,بيانات_الفلتر!$A:$A,#REF!,بيانات_الفلتر!$B:$B,A4))</f>
        <v>#REF!</v>
      </c>
      <c r="K4" t="e">
        <f>IF(#REF!="كل الشهور",SUMIFS(بيانات_الفلتر!$L:$L,بيانات_الفلتر!$B:$B,A4),SUMIFS(بيانات_الفلتر!$L:$L,بيانات_الفلتر!$A:$A,#REF!,بيانات_الفلتر!$B:$B,A4))</f>
        <v>#REF!</v>
      </c>
      <c r="L4" t="e">
        <f>IF(#REF!="كل الشهور",SUMIFS(بيانات_الفلتر!$O:$O,بيانات_الفلتر!$B:$B,A4),SUMIFS(بيانات_الفلتر!$O:$O,بيانات_الفلتر!$A:$A,#REF!,بيانات_الفلتر!$B:$B,A4))</f>
        <v>#REF!</v>
      </c>
    </row>
    <row r="5" spans="1:12" x14ac:dyDescent="0.35">
      <c r="A5" t="s">
        <v>80</v>
      </c>
      <c r="B5" t="e">
        <f>IF(#REF!="كل الشهور",SUMIFS(بيانات_الفلتر!$E:$E,بيانات_الفلتر!$B:$B,A5),SUMIFS(بيانات_الفلتر!$E:$E,بيانات_الفلتر!$A:$A,#REF!,بيانات_الفلتر!$B:$B,A5))</f>
        <v>#REF!</v>
      </c>
      <c r="C5" t="e">
        <f>IF(#REF!="كل الشهور",SUMIFS(بيانات_الفلتر!$F:$F,بيانات_الفلتر!$B:$B,A5),SUMIFS(بيانات_الفلتر!$F:$F,بيانات_الفلتر!$A:$A,#REF!,بيانات_الفلتر!$B:$B,A5))</f>
        <v>#REF!</v>
      </c>
      <c r="D5" t="e">
        <f>IF(#REF!="كل الشهور",IFERROR(AVERAGEIFS(بيانات_الفلتر!$G:$G,بيانات_الفلتر!$B:$B,A5),0),IFERROR(AVERAGEIFS(بيانات_الفلتر!$G:$G,بيانات_الفلتر!$A:$A,#REF!,بيانات_الفلتر!$B:$B,A5),0))</f>
        <v>#REF!</v>
      </c>
      <c r="E5" t="e">
        <f>IF(#REF!="كل الشهور",SUMIFS(بيانات_الفلتر!$H:$H,بيانات_الفلتر!$B:$B,A5),SUMIFS(بيانات_الفلتر!$H:$H,بيانات_الفلتر!$A:$A,#REF!,بيانات_الفلتر!$B:$B,A5))</f>
        <v>#REF!</v>
      </c>
      <c r="F5" t="e">
        <f>IF(#REF!="كل الشهور",SUMIFS(بيانات_الفلتر!$I:$I,بيانات_الفلتر!$B:$B,A5),SUMIFS(بيانات_الفلتر!$I:$I,بيانات_الفلتر!$A:$A,#REF!,بيانات_الفلتر!$B:$B,A5))</f>
        <v>#REF!</v>
      </c>
      <c r="G5" t="e">
        <f>IF(#REF!="كل الشهور",SUMIFS(بيانات_الفلتر!$J:$J,بيانات_الفلتر!$B:$B,A5),SUMIFS(بيانات_الفلتر!$J:$J,بيانات_الفلتر!$A:$A,#REF!,بيانات_الفلتر!$B:$B,A5))</f>
        <v>#REF!</v>
      </c>
      <c r="H5" t="e">
        <f>IF(#REF!="كل الشهور",SUMIFS(بيانات_الفلتر!$C:$C,بيانات_الفلتر!$B:$B,A5),SUMIFS(بيانات_الفلتر!$C:$C,بيانات_الفلتر!$A:$A,#REF!,بيانات_الفلتر!$B:$B,A5))</f>
        <v>#REF!</v>
      </c>
      <c r="I5" t="e">
        <f>IF(#REF!="كل الشهور",SUMIFS(بيانات_الفلتر!$D:$D,بيانات_الفلتر!$B:$B,A5),SUMIFS(بيانات_الفلتر!$D:$D,بيانات_الفلتر!$A:$A,#REF!,بيانات_الفلتر!$B:$B,A5))</f>
        <v>#REF!</v>
      </c>
      <c r="J5" t="e">
        <f>IF(#REF!="كل الشهور",SUMIFS(بيانات_الفلتر!$M:$M,بيانات_الفلتر!$B:$B,A5),SUMIFS(بيانات_الفلتر!$M:$M,بيانات_الفلتر!$A:$A,#REF!,بيانات_الفلتر!$B:$B,A5))</f>
        <v>#REF!</v>
      </c>
      <c r="K5" t="e">
        <f>IF(#REF!="كل الشهور",SUMIFS(بيانات_الفلتر!$L:$L,بيانات_الفلتر!$B:$B,A5),SUMIFS(بيانات_الفلتر!$L:$L,بيانات_الفلتر!$A:$A,#REF!,بيانات_الفلتر!$B:$B,A5))</f>
        <v>#REF!</v>
      </c>
      <c r="L5" t="e">
        <f>IF(#REF!="كل الشهور",SUMIFS(بيانات_الفلتر!$O:$O,بيانات_الفلتر!$B:$B,A5),SUMIFS(بيانات_الفلتر!$O:$O,بيانات_الفلتر!$A:$A,#REF!,بيانات_الفلتر!$B:$B,A5))</f>
        <v>#REF!</v>
      </c>
    </row>
    <row r="6" spans="1:12" x14ac:dyDescent="0.35">
      <c r="A6" t="s">
        <v>81</v>
      </c>
      <c r="B6" t="e">
        <f>IF(#REF!="كل الشهور",SUMIFS(بيانات_الفلتر!$E:$E,بيانات_الفلتر!$B:$B,A6),SUMIFS(بيانات_الفلتر!$E:$E,بيانات_الفلتر!$A:$A,#REF!,بيانات_الفلتر!$B:$B,A6))</f>
        <v>#REF!</v>
      </c>
      <c r="C6" t="e">
        <f>IF(#REF!="كل الشهور",SUMIFS(بيانات_الفلتر!$F:$F,بيانات_الفلتر!$B:$B,A6),SUMIFS(بيانات_الفلتر!$F:$F,بيانات_الفلتر!$A:$A,#REF!,بيانات_الفلتر!$B:$B,A6))</f>
        <v>#REF!</v>
      </c>
      <c r="D6" t="e">
        <f>IF(#REF!="كل الشهور",IFERROR(AVERAGEIFS(بيانات_الفلتر!$G:$G,بيانات_الفلتر!$B:$B,A6),0),IFERROR(AVERAGEIFS(بيانات_الفلتر!$G:$G,بيانات_الفلتر!$A:$A,#REF!,بيانات_الفلتر!$B:$B,A6),0))</f>
        <v>#REF!</v>
      </c>
      <c r="E6" t="e">
        <f>IF(#REF!="كل الشهور",SUMIFS(بيانات_الفلتر!$H:$H,بيانات_الفلتر!$B:$B,A6),SUMIFS(بيانات_الفلتر!$H:$H,بيانات_الفلتر!$A:$A,#REF!,بيانات_الفلتر!$B:$B,A6))</f>
        <v>#REF!</v>
      </c>
      <c r="F6" t="e">
        <f>IF(#REF!="كل الشهور",SUMIFS(بيانات_الفلتر!$I:$I,بيانات_الفلتر!$B:$B,A6),SUMIFS(بيانات_الفلتر!$I:$I,بيانات_الفلتر!$A:$A,#REF!,بيانات_الفلتر!$B:$B,A6))</f>
        <v>#REF!</v>
      </c>
      <c r="G6" t="e">
        <f>IF(#REF!="كل الشهور",SUMIFS(بيانات_الفلتر!$J:$J,بيانات_الفلتر!$B:$B,A6),SUMIFS(بيانات_الفلتر!$J:$J,بيانات_الفلتر!$A:$A,#REF!,بيانات_الفلتر!$B:$B,A6))</f>
        <v>#REF!</v>
      </c>
      <c r="H6" t="e">
        <f>IF(#REF!="كل الشهور",SUMIFS(بيانات_الفلتر!$C:$C,بيانات_الفلتر!$B:$B,A6),SUMIFS(بيانات_الفلتر!$C:$C,بيانات_الفلتر!$A:$A,#REF!,بيانات_الفلتر!$B:$B,A6))</f>
        <v>#REF!</v>
      </c>
      <c r="I6" t="e">
        <f>IF(#REF!="كل الشهور",SUMIFS(بيانات_الفلتر!$D:$D,بيانات_الفلتر!$B:$B,A6),SUMIFS(بيانات_الفلتر!$D:$D,بيانات_الفلتر!$A:$A,#REF!,بيانات_الفلتر!$B:$B,A6))</f>
        <v>#REF!</v>
      </c>
      <c r="J6" t="e">
        <f>IF(#REF!="كل الشهور",SUMIFS(بيانات_الفلتر!$M:$M,بيانات_الفلتر!$B:$B,A6),SUMIFS(بيانات_الفلتر!$M:$M,بيانات_الفلتر!$A:$A,#REF!,بيانات_الفلتر!$B:$B,A6))</f>
        <v>#REF!</v>
      </c>
      <c r="K6" t="e">
        <f>IF(#REF!="كل الشهور",SUMIFS(بيانات_الفلتر!$L:$L,بيانات_الفلتر!$B:$B,A6),SUMIFS(بيانات_الفلتر!$L:$L,بيانات_الفلتر!$A:$A,#REF!,بيانات_الفلتر!$B:$B,A6))</f>
        <v>#REF!</v>
      </c>
      <c r="L6" t="e">
        <f>IF(#REF!="كل الشهور",SUMIFS(بيانات_الفلتر!$O:$O,بيانات_الفلتر!$B:$B,A6),SUMIFS(بيانات_الفلتر!$O:$O,بيانات_الفلتر!$A:$A,#REF!,بيانات_الفلتر!$B:$B,A6))</f>
        <v>#REF!</v>
      </c>
    </row>
    <row r="7" spans="1:12" x14ac:dyDescent="0.35">
      <c r="A7" t="s">
        <v>82</v>
      </c>
      <c r="B7" t="e">
        <f>IF(#REF!="كل الشهور",SUMIFS(بيانات_الفلتر!$E:$E,بيانات_الفلتر!$B:$B,A7),SUMIFS(بيانات_الفلتر!$E:$E,بيانات_الفلتر!$A:$A,#REF!,بيانات_الفلتر!$B:$B,A7))</f>
        <v>#REF!</v>
      </c>
      <c r="C7" t="e">
        <f>IF(#REF!="كل الشهور",SUMIFS(بيانات_الفلتر!$F:$F,بيانات_الفلتر!$B:$B,A7),SUMIFS(بيانات_الفلتر!$F:$F,بيانات_الفلتر!$A:$A,#REF!,بيانات_الفلتر!$B:$B,A7))</f>
        <v>#REF!</v>
      </c>
      <c r="D7" t="e">
        <f>IF(#REF!="كل الشهور",IFERROR(AVERAGEIFS(بيانات_الفلتر!$G:$G,بيانات_الفلتر!$B:$B,A7),0),IFERROR(AVERAGEIFS(بيانات_الفلتر!$G:$G,بيانات_الفلتر!$A:$A,#REF!,بيانات_الفلتر!$B:$B,A7),0))</f>
        <v>#REF!</v>
      </c>
      <c r="E7" t="e">
        <f>IF(#REF!="كل الشهور",SUMIFS(بيانات_الفلتر!$H:$H,بيانات_الفلتر!$B:$B,A7),SUMIFS(بيانات_الفلتر!$H:$H,بيانات_الفلتر!$A:$A,#REF!,بيانات_الفلتر!$B:$B,A7))</f>
        <v>#REF!</v>
      </c>
      <c r="F7" t="e">
        <f>IF(#REF!="كل الشهور",SUMIFS(بيانات_الفلتر!$I:$I,بيانات_الفلتر!$B:$B,A7),SUMIFS(بيانات_الفلتر!$I:$I,بيانات_الفلتر!$A:$A,#REF!,بيانات_الفلتر!$B:$B,A7))</f>
        <v>#REF!</v>
      </c>
      <c r="G7" t="e">
        <f>IF(#REF!="كل الشهور",SUMIFS(بيانات_الفلتر!$J:$J,بيانات_الفلتر!$B:$B,A7),SUMIFS(بيانات_الفلتر!$J:$J,بيانات_الفلتر!$A:$A,#REF!,بيانات_الفلتر!$B:$B,A7))</f>
        <v>#REF!</v>
      </c>
      <c r="H7" t="e">
        <f>IF(#REF!="كل الشهور",SUMIFS(بيانات_الفلتر!$C:$C,بيانات_الفلتر!$B:$B,A7),SUMIFS(بيانات_الفلتر!$C:$C,بيانات_الفلتر!$A:$A,#REF!,بيانات_الفلتر!$B:$B,A7))</f>
        <v>#REF!</v>
      </c>
      <c r="I7" t="e">
        <f>IF(#REF!="كل الشهور",SUMIFS(بيانات_الفلتر!$D:$D,بيانات_الفلتر!$B:$B,A7),SUMIFS(بيانات_الفلتر!$D:$D,بيانات_الفلتر!$A:$A,#REF!,بيانات_الفلتر!$B:$B,A7))</f>
        <v>#REF!</v>
      </c>
      <c r="J7" t="e">
        <f>IF(#REF!="كل الشهور",SUMIFS(بيانات_الفلتر!$M:$M,بيانات_الفلتر!$B:$B,A7),SUMIFS(بيانات_الفلتر!$M:$M,بيانات_الفلتر!$A:$A,#REF!,بيانات_الفلتر!$B:$B,A7))</f>
        <v>#REF!</v>
      </c>
      <c r="K7" t="e">
        <f>IF(#REF!="كل الشهور",SUMIFS(بيانات_الفلتر!$L:$L,بيانات_الفلتر!$B:$B,A7),SUMIFS(بيانات_الفلتر!$L:$L,بيانات_الفلتر!$A:$A,#REF!,بيانات_الفلتر!$B:$B,A7))</f>
        <v>#REF!</v>
      </c>
      <c r="L7" t="e">
        <f>IF(#REF!="كل الشهور",SUMIFS(بيانات_الفلتر!$O:$O,بيانات_الفلتر!$B:$B,A7),SUMIFS(بيانات_الفلتر!$O:$O,بيانات_الفلتر!$A:$A,#REF!,بيانات_الفلتر!$B:$B,A7))</f>
        <v>#REF!</v>
      </c>
    </row>
    <row r="8" spans="1:12" x14ac:dyDescent="0.35">
      <c r="A8" t="s">
        <v>83</v>
      </c>
      <c r="B8" t="e">
        <f>IF(#REF!="كل الشهور",SUMIFS(بيانات_الفلتر!$E:$E,بيانات_الفلتر!$B:$B,A8),SUMIFS(بيانات_الفلتر!$E:$E,بيانات_الفلتر!$A:$A,#REF!,بيانات_الفلتر!$B:$B,A8))</f>
        <v>#REF!</v>
      </c>
      <c r="C8" t="e">
        <f>IF(#REF!="كل الشهور",SUMIFS(بيانات_الفلتر!$F:$F,بيانات_الفلتر!$B:$B,A8),SUMIFS(بيانات_الفلتر!$F:$F,بيانات_الفلتر!$A:$A,#REF!,بيانات_الفلتر!$B:$B,A8))</f>
        <v>#REF!</v>
      </c>
      <c r="D8" t="e">
        <f>IF(#REF!="كل الشهور",IFERROR(AVERAGEIFS(بيانات_الفلتر!$G:$G,بيانات_الفلتر!$B:$B,A8),0),IFERROR(AVERAGEIFS(بيانات_الفلتر!$G:$G,بيانات_الفلتر!$A:$A,#REF!,بيانات_الفلتر!$B:$B,A8),0))</f>
        <v>#REF!</v>
      </c>
      <c r="E8" t="e">
        <f>IF(#REF!="كل الشهور",SUMIFS(بيانات_الفلتر!$H:$H,بيانات_الفلتر!$B:$B,A8),SUMIFS(بيانات_الفلتر!$H:$H,بيانات_الفلتر!$A:$A,#REF!,بيانات_الفلتر!$B:$B,A8))</f>
        <v>#REF!</v>
      </c>
      <c r="F8" t="e">
        <f>IF(#REF!="كل الشهور",SUMIFS(بيانات_الفلتر!$I:$I,بيانات_الفلتر!$B:$B,A8),SUMIFS(بيانات_الفلتر!$I:$I,بيانات_الفلتر!$A:$A,#REF!,بيانات_الفلتر!$B:$B,A8))</f>
        <v>#REF!</v>
      </c>
      <c r="G8" t="e">
        <f>IF(#REF!="كل الشهور",SUMIFS(بيانات_الفلتر!$J:$J,بيانات_الفلتر!$B:$B,A8),SUMIFS(بيانات_الفلتر!$J:$J,بيانات_الفلتر!$A:$A,#REF!,بيانات_الفلتر!$B:$B,A8))</f>
        <v>#REF!</v>
      </c>
      <c r="H8" t="e">
        <f>IF(#REF!="كل الشهور",SUMIFS(بيانات_الفلتر!$C:$C,بيانات_الفلتر!$B:$B,A8),SUMIFS(بيانات_الفلتر!$C:$C,بيانات_الفلتر!$A:$A,#REF!,بيانات_الفلتر!$B:$B,A8))</f>
        <v>#REF!</v>
      </c>
      <c r="I8" t="e">
        <f>IF(#REF!="كل الشهور",SUMIFS(بيانات_الفلتر!$D:$D,بيانات_الفلتر!$B:$B,A8),SUMIFS(بيانات_الفلتر!$D:$D,بيانات_الفلتر!$A:$A,#REF!,بيانات_الفلتر!$B:$B,A8))</f>
        <v>#REF!</v>
      </c>
      <c r="J8" t="e">
        <f>IF(#REF!="كل الشهور",SUMIFS(بيانات_الفلتر!$M:$M,بيانات_الفلتر!$B:$B,A8),SUMIFS(بيانات_الفلتر!$M:$M,بيانات_الفلتر!$A:$A,#REF!,بيانات_الفلتر!$B:$B,A8))</f>
        <v>#REF!</v>
      </c>
      <c r="K8" t="e">
        <f>IF(#REF!="كل الشهور",SUMIFS(بيانات_الفلتر!$L:$L,بيانات_الفلتر!$B:$B,A8),SUMIFS(بيانات_الفلتر!$L:$L,بيانات_الفلتر!$A:$A,#REF!,بيانات_الفلتر!$B:$B,A8))</f>
        <v>#REF!</v>
      </c>
      <c r="L8" t="e">
        <f>IF(#REF!="كل الشهور",SUMIFS(بيانات_الفلتر!$O:$O,بيانات_الفلتر!$B:$B,A8),SUMIFS(بيانات_الفلتر!$O:$O,بيانات_الفلتر!$A:$A,#REF!,بيانات_الفلتر!$B:$B,A8))</f>
        <v>#REF!</v>
      </c>
    </row>
    <row r="9" spans="1:12" x14ac:dyDescent="0.35">
      <c r="A9" t="s">
        <v>84</v>
      </c>
      <c r="B9" t="e">
        <f>IF(#REF!="كل الشهور",SUMIFS(بيانات_الفلتر!$E:$E,بيانات_الفلتر!$B:$B,A9),SUMIFS(بيانات_الفلتر!$E:$E,بيانات_الفلتر!$A:$A,#REF!,بيانات_الفلتر!$B:$B,A9))</f>
        <v>#REF!</v>
      </c>
      <c r="C9" t="e">
        <f>IF(#REF!="كل الشهور",SUMIFS(بيانات_الفلتر!$F:$F,بيانات_الفلتر!$B:$B,A9),SUMIFS(بيانات_الفلتر!$F:$F,بيانات_الفلتر!$A:$A,#REF!,بيانات_الفلتر!$B:$B,A9))</f>
        <v>#REF!</v>
      </c>
      <c r="D9" t="e">
        <f>IF(#REF!="كل الشهور",IFERROR(AVERAGEIFS(بيانات_الفلتر!$G:$G,بيانات_الفلتر!$B:$B,A9),0),IFERROR(AVERAGEIFS(بيانات_الفلتر!$G:$G,بيانات_الفلتر!$A:$A,#REF!,بيانات_الفلتر!$B:$B,A9),0))</f>
        <v>#REF!</v>
      </c>
      <c r="E9" t="e">
        <f>IF(#REF!="كل الشهور",SUMIFS(بيانات_الفلتر!$H:$H,بيانات_الفلتر!$B:$B,A9),SUMIFS(بيانات_الفلتر!$H:$H,بيانات_الفلتر!$A:$A,#REF!,بيانات_الفلتر!$B:$B,A9))</f>
        <v>#REF!</v>
      </c>
      <c r="F9" t="e">
        <f>IF(#REF!="كل الشهور",SUMIFS(بيانات_الفلتر!$I:$I,بيانات_الفلتر!$B:$B,A9),SUMIFS(بيانات_الفلتر!$I:$I,بيانات_الفلتر!$A:$A,#REF!,بيانات_الفلتر!$B:$B,A9))</f>
        <v>#REF!</v>
      </c>
      <c r="G9" t="e">
        <f>IF(#REF!="كل الشهور",SUMIFS(بيانات_الفلتر!$J:$J,بيانات_الفلتر!$B:$B,A9),SUMIFS(بيانات_الفلتر!$J:$J,بيانات_الفلتر!$A:$A,#REF!,بيانات_الفلتر!$B:$B,A9))</f>
        <v>#REF!</v>
      </c>
      <c r="H9" t="e">
        <f>IF(#REF!="كل الشهور",SUMIFS(بيانات_الفلتر!$C:$C,بيانات_الفلتر!$B:$B,A9),SUMIFS(بيانات_الفلتر!$C:$C,بيانات_الفلتر!$A:$A,#REF!,بيانات_الفلتر!$B:$B,A9))</f>
        <v>#REF!</v>
      </c>
      <c r="I9" t="e">
        <f>IF(#REF!="كل الشهور",SUMIFS(بيانات_الفلتر!$D:$D,بيانات_الفلتر!$B:$B,A9),SUMIFS(بيانات_الفلتر!$D:$D,بيانات_الفلتر!$A:$A,#REF!,بيانات_الفلتر!$B:$B,A9))</f>
        <v>#REF!</v>
      </c>
      <c r="J9" t="e">
        <f>IF(#REF!="كل الشهور",SUMIFS(بيانات_الفلتر!$M:$M,بيانات_الفلتر!$B:$B,A9),SUMIFS(بيانات_الفلتر!$M:$M,بيانات_الفلتر!$A:$A,#REF!,بيانات_الفلتر!$B:$B,A9))</f>
        <v>#REF!</v>
      </c>
      <c r="K9" t="e">
        <f>IF(#REF!="كل الشهور",SUMIFS(بيانات_الفلتر!$L:$L,بيانات_الفلتر!$B:$B,A9),SUMIFS(بيانات_الفلتر!$L:$L,بيانات_الفلتر!$A:$A,#REF!,بيانات_الفلتر!$B:$B,A9))</f>
        <v>#REF!</v>
      </c>
      <c r="L9" t="e">
        <f>IF(#REF!="كل الشهور",SUMIFS(بيانات_الفلتر!$O:$O,بيانات_الفلتر!$B:$B,A9),SUMIFS(بيانات_الفلتر!$O:$O,بيانات_الفلتر!$A:$A,#REF!,بيانات_الفلتر!$B:$B,A9))</f>
        <v>#REF!</v>
      </c>
    </row>
    <row r="10" spans="1:12" x14ac:dyDescent="0.35">
      <c r="A10" t="s">
        <v>85</v>
      </c>
      <c r="B10" t="e">
        <f>IF(#REF!="كل الشهور",SUMIFS(بيانات_الفلتر!$E:$E,بيانات_الفلتر!$B:$B,A10),SUMIFS(بيانات_الفلتر!$E:$E,بيانات_الفلتر!$A:$A,#REF!,بيانات_الفلتر!$B:$B,A10))</f>
        <v>#REF!</v>
      </c>
      <c r="C10" t="e">
        <f>IF(#REF!="كل الشهور",SUMIFS(بيانات_الفلتر!$F:$F,بيانات_الفلتر!$B:$B,A10),SUMIFS(بيانات_الفلتر!$F:$F,بيانات_الفلتر!$A:$A,#REF!,بيانات_الفلتر!$B:$B,A10))</f>
        <v>#REF!</v>
      </c>
      <c r="D10" t="e">
        <f>IF(#REF!="كل الشهور",IFERROR(AVERAGEIFS(بيانات_الفلتر!$G:$G,بيانات_الفلتر!$B:$B,A10),0),IFERROR(AVERAGEIFS(بيانات_الفلتر!$G:$G,بيانات_الفلتر!$A:$A,#REF!,بيانات_الفلتر!$B:$B,A10),0))</f>
        <v>#REF!</v>
      </c>
      <c r="E10" t="e">
        <f>IF(#REF!="كل الشهور",SUMIFS(بيانات_الفلتر!$H:$H,بيانات_الفلتر!$B:$B,A10),SUMIFS(بيانات_الفلتر!$H:$H,بيانات_الفلتر!$A:$A,#REF!,بيانات_الفلتر!$B:$B,A10))</f>
        <v>#REF!</v>
      </c>
      <c r="F10" t="e">
        <f>IF(#REF!="كل الشهور",SUMIFS(بيانات_الفلتر!$I:$I,بيانات_الفلتر!$B:$B,A10),SUMIFS(بيانات_الفلتر!$I:$I,بيانات_الفلتر!$A:$A,#REF!,بيانات_الفلتر!$B:$B,A10))</f>
        <v>#REF!</v>
      </c>
      <c r="G10" t="e">
        <f>IF(#REF!="كل الشهور",SUMIFS(بيانات_الفلتر!$J:$J,بيانات_الفلتر!$B:$B,A10),SUMIFS(بيانات_الفلتر!$J:$J,بيانات_الفلتر!$A:$A,#REF!,بيانات_الفلتر!$B:$B,A10))</f>
        <v>#REF!</v>
      </c>
      <c r="H10" t="e">
        <f>IF(#REF!="كل الشهور",SUMIFS(بيانات_الفلتر!$C:$C,بيانات_الفلتر!$B:$B,A10),SUMIFS(بيانات_الفلتر!$C:$C,بيانات_الفلتر!$A:$A,#REF!,بيانات_الفلتر!$B:$B,A10))</f>
        <v>#REF!</v>
      </c>
      <c r="I10" t="e">
        <f>IF(#REF!="كل الشهور",SUMIFS(بيانات_الفلتر!$D:$D,بيانات_الفلتر!$B:$B,A10),SUMIFS(بيانات_الفلتر!$D:$D,بيانات_الفلتر!$A:$A,#REF!,بيانات_الفلتر!$B:$B,A10))</f>
        <v>#REF!</v>
      </c>
      <c r="J10" t="e">
        <f>IF(#REF!="كل الشهور",SUMIFS(بيانات_الفلتر!$M:$M,بيانات_الفلتر!$B:$B,A10),SUMIFS(بيانات_الفلتر!$M:$M,بيانات_الفلتر!$A:$A,#REF!,بيانات_الفلتر!$B:$B,A10))</f>
        <v>#REF!</v>
      </c>
      <c r="K10" t="e">
        <f>IF(#REF!="كل الشهور",SUMIFS(بيانات_الفلتر!$L:$L,بيانات_الفلتر!$B:$B,A10),SUMIFS(بيانات_الفلتر!$L:$L,بيانات_الفلتر!$A:$A,#REF!,بيانات_الفلتر!$B:$B,A10))</f>
        <v>#REF!</v>
      </c>
      <c r="L10" t="e">
        <f>IF(#REF!="كل الشهور",SUMIFS(بيانات_الفلتر!$O:$O,بيانات_الفلتر!$B:$B,A10),SUMIFS(بيانات_الفلتر!$O:$O,بيانات_الفلتر!$A:$A,#REF!,بيانات_الفلتر!$B:$B,A10))</f>
        <v>#REF!</v>
      </c>
    </row>
    <row r="11" spans="1:12" x14ac:dyDescent="0.35">
      <c r="A11" t="s">
        <v>86</v>
      </c>
      <c r="B11" t="e">
        <f>IF(#REF!="كل الشهور",SUMIFS(بيانات_الفلتر!$E:$E,بيانات_الفلتر!$B:$B,A11),SUMIFS(بيانات_الفلتر!$E:$E,بيانات_الفلتر!$A:$A,#REF!,بيانات_الفلتر!$B:$B,A11))</f>
        <v>#REF!</v>
      </c>
      <c r="C11" t="e">
        <f>IF(#REF!="كل الشهور",SUMIFS(بيانات_الفلتر!$F:$F,بيانات_الفلتر!$B:$B,A11),SUMIFS(بيانات_الفلتر!$F:$F,بيانات_الفلتر!$A:$A,#REF!,بيانات_الفلتر!$B:$B,A11))</f>
        <v>#REF!</v>
      </c>
      <c r="D11" t="e">
        <f>IF(#REF!="كل الشهور",IFERROR(AVERAGEIFS(بيانات_الفلتر!$G:$G,بيانات_الفلتر!$B:$B,A11),0),IFERROR(AVERAGEIFS(بيانات_الفلتر!$G:$G,بيانات_الفلتر!$A:$A,#REF!,بيانات_الفلتر!$B:$B,A11),0))</f>
        <v>#REF!</v>
      </c>
      <c r="E11" t="e">
        <f>IF(#REF!="كل الشهور",SUMIFS(بيانات_الفلتر!$H:$H,بيانات_الفلتر!$B:$B,A11),SUMIFS(بيانات_الفلتر!$H:$H,بيانات_الفلتر!$A:$A,#REF!,بيانات_الفلتر!$B:$B,A11))</f>
        <v>#REF!</v>
      </c>
      <c r="F11" t="e">
        <f>IF(#REF!="كل الشهور",SUMIFS(بيانات_الفلتر!$I:$I,بيانات_الفلتر!$B:$B,A11),SUMIFS(بيانات_الفلتر!$I:$I,بيانات_الفلتر!$A:$A,#REF!,بيانات_الفلتر!$B:$B,A11))</f>
        <v>#REF!</v>
      </c>
      <c r="G11" t="e">
        <f>IF(#REF!="كل الشهور",SUMIFS(بيانات_الفلتر!$J:$J,بيانات_الفلتر!$B:$B,A11),SUMIFS(بيانات_الفلتر!$J:$J,بيانات_الفلتر!$A:$A,#REF!,بيانات_الفلتر!$B:$B,A11))</f>
        <v>#REF!</v>
      </c>
      <c r="H11" t="e">
        <f>IF(#REF!="كل الشهور",SUMIFS(بيانات_الفلتر!$C:$C,بيانات_الفلتر!$B:$B,A11),SUMIFS(بيانات_الفلتر!$C:$C,بيانات_الفلتر!$A:$A,#REF!,بيانات_الفلتر!$B:$B,A11))</f>
        <v>#REF!</v>
      </c>
      <c r="I11" t="e">
        <f>IF(#REF!="كل الشهور",SUMIFS(بيانات_الفلتر!$D:$D,بيانات_الفلتر!$B:$B,A11),SUMIFS(بيانات_الفلتر!$D:$D,بيانات_الفلتر!$A:$A,#REF!,بيانات_الفلتر!$B:$B,A11))</f>
        <v>#REF!</v>
      </c>
      <c r="J11" t="e">
        <f>IF(#REF!="كل الشهور",SUMIFS(بيانات_الفلتر!$M:$M,بيانات_الفلتر!$B:$B,A11),SUMIFS(بيانات_الفلتر!$M:$M,بيانات_الفلتر!$A:$A,#REF!,بيانات_الفلتر!$B:$B,A11))</f>
        <v>#REF!</v>
      </c>
      <c r="K11" t="e">
        <f>IF(#REF!="كل الشهور",SUMIFS(بيانات_الفلتر!$L:$L,بيانات_الفلتر!$B:$B,A11),SUMIFS(بيانات_الفلتر!$L:$L,بيانات_الفلتر!$A:$A,#REF!,بيانات_الفلتر!$B:$B,A11))</f>
        <v>#REF!</v>
      </c>
      <c r="L11" t="e">
        <f>IF(#REF!="كل الشهور",SUMIFS(بيانات_الفلتر!$O:$O,بيانات_الفلتر!$B:$B,A11),SUMIFS(بيانات_الفلتر!$O:$O,بيانات_الفلتر!$A:$A,#REF!,بيانات_الفلتر!$B:$B,A11))</f>
        <v>#REF!</v>
      </c>
    </row>
    <row r="12" spans="1:12" x14ac:dyDescent="0.35">
      <c r="A12" t="s">
        <v>87</v>
      </c>
      <c r="B12" t="e">
        <f>IF(#REF!="كل الشهور",SUMIFS(بيانات_الفلتر!$E:$E,بيانات_الفلتر!$B:$B,A12),SUMIFS(بيانات_الفلتر!$E:$E,بيانات_الفلتر!$A:$A,#REF!,بيانات_الفلتر!$B:$B,A12))</f>
        <v>#REF!</v>
      </c>
      <c r="C12" t="e">
        <f>IF(#REF!="كل الشهور",SUMIFS(بيانات_الفلتر!$F:$F,بيانات_الفلتر!$B:$B,A12),SUMIFS(بيانات_الفلتر!$F:$F,بيانات_الفلتر!$A:$A,#REF!,بيانات_الفلتر!$B:$B,A12))</f>
        <v>#REF!</v>
      </c>
      <c r="D12" t="e">
        <f>IF(#REF!="كل الشهور",IFERROR(AVERAGEIFS(بيانات_الفلتر!$G:$G,بيانات_الفلتر!$B:$B,A12),0),IFERROR(AVERAGEIFS(بيانات_الفلتر!$G:$G,بيانات_الفلتر!$A:$A,#REF!,بيانات_الفلتر!$B:$B,A12),0))</f>
        <v>#REF!</v>
      </c>
      <c r="E12" t="e">
        <f>IF(#REF!="كل الشهور",SUMIFS(بيانات_الفلتر!$H:$H,بيانات_الفلتر!$B:$B,A12),SUMIFS(بيانات_الفلتر!$H:$H,بيانات_الفلتر!$A:$A,#REF!,بيانات_الفلتر!$B:$B,A12))</f>
        <v>#REF!</v>
      </c>
      <c r="F12" t="e">
        <f>IF(#REF!="كل الشهور",SUMIFS(بيانات_الفلتر!$I:$I,بيانات_الفلتر!$B:$B,A12),SUMIFS(بيانات_الفلتر!$I:$I,بيانات_الفلتر!$A:$A,#REF!,بيانات_الفلتر!$B:$B,A12))</f>
        <v>#REF!</v>
      </c>
      <c r="G12" t="e">
        <f>IF(#REF!="كل الشهور",SUMIFS(بيانات_الفلتر!$J:$J,بيانات_الفلتر!$B:$B,A12),SUMIFS(بيانات_الفلتر!$J:$J,بيانات_الفلتر!$A:$A,#REF!,بيانات_الفلتر!$B:$B,A12))</f>
        <v>#REF!</v>
      </c>
      <c r="H12" t="e">
        <f>IF(#REF!="كل الشهور",SUMIFS(بيانات_الفلتر!$C:$C,بيانات_الفلتر!$B:$B,A12),SUMIFS(بيانات_الفلتر!$C:$C,بيانات_الفلتر!$A:$A,#REF!,بيانات_الفلتر!$B:$B,A12))</f>
        <v>#REF!</v>
      </c>
      <c r="I12" t="e">
        <f>IF(#REF!="كل الشهور",SUMIFS(بيانات_الفلتر!$D:$D,بيانات_الفلتر!$B:$B,A12),SUMIFS(بيانات_الفلتر!$D:$D,بيانات_الفلتر!$A:$A,#REF!,بيانات_الفلتر!$B:$B,A12))</f>
        <v>#REF!</v>
      </c>
      <c r="J12" t="e">
        <f>IF(#REF!="كل الشهور",SUMIFS(بيانات_الفلتر!$M:$M,بيانات_الفلتر!$B:$B,A12),SUMIFS(بيانات_الفلتر!$M:$M,بيانات_الفلتر!$A:$A,#REF!,بيانات_الفلتر!$B:$B,A12))</f>
        <v>#REF!</v>
      </c>
      <c r="K12" t="e">
        <f>IF(#REF!="كل الشهور",SUMIFS(بيانات_الفلتر!$L:$L,بيانات_الفلتر!$B:$B,A12),SUMIFS(بيانات_الفلتر!$L:$L,بيانات_الفلتر!$A:$A,#REF!,بيانات_الفلتر!$B:$B,A12))</f>
        <v>#REF!</v>
      </c>
      <c r="L12" t="e">
        <f>IF(#REF!="كل الشهور",SUMIFS(بيانات_الفلتر!$O:$O,بيانات_الفلتر!$B:$B,A12),SUMIFS(بيانات_الفلتر!$O:$O,بيانات_الفلتر!$A:$A,#REF!,بيانات_الفلتر!$B:$B,A12))</f>
        <v>#REF!</v>
      </c>
    </row>
    <row r="13" spans="1:12" x14ac:dyDescent="0.35">
      <c r="A13" t="s">
        <v>88</v>
      </c>
      <c r="B13" t="e">
        <f>IF(#REF!="كل الشهور",SUMIFS(بيانات_الفلتر!$E:$E,بيانات_الفلتر!$B:$B,A13),SUMIFS(بيانات_الفلتر!$E:$E,بيانات_الفلتر!$A:$A,#REF!,بيانات_الفلتر!$B:$B,A13))</f>
        <v>#REF!</v>
      </c>
      <c r="C13" t="e">
        <f>IF(#REF!="كل الشهور",SUMIFS(بيانات_الفلتر!$F:$F,بيانات_الفلتر!$B:$B,A13),SUMIFS(بيانات_الفلتر!$F:$F,بيانات_الفلتر!$A:$A,#REF!,بيانات_الفلتر!$B:$B,A13))</f>
        <v>#REF!</v>
      </c>
      <c r="D13" t="e">
        <f>IF(#REF!="كل الشهور",IFERROR(AVERAGEIFS(بيانات_الفلتر!$G:$G,بيانات_الفلتر!$B:$B,A13),0),IFERROR(AVERAGEIFS(بيانات_الفلتر!$G:$G,بيانات_الفلتر!$A:$A,#REF!,بيانات_الفلتر!$B:$B,A13),0))</f>
        <v>#REF!</v>
      </c>
      <c r="E13" t="e">
        <f>IF(#REF!="كل الشهور",SUMIFS(بيانات_الفلتر!$H:$H,بيانات_الفلتر!$B:$B,A13),SUMIFS(بيانات_الفلتر!$H:$H,بيانات_الفلتر!$A:$A,#REF!,بيانات_الفلتر!$B:$B,A13))</f>
        <v>#REF!</v>
      </c>
      <c r="F13" t="e">
        <f>IF(#REF!="كل الشهور",SUMIFS(بيانات_الفلتر!$I:$I,بيانات_الفلتر!$B:$B,A13),SUMIFS(بيانات_الفلتر!$I:$I,بيانات_الفلتر!$A:$A,#REF!,بيانات_الفلتر!$B:$B,A13))</f>
        <v>#REF!</v>
      </c>
      <c r="G13" t="e">
        <f>IF(#REF!="كل الشهور",SUMIFS(بيانات_الفلتر!$J:$J,بيانات_الفلتر!$B:$B,A13),SUMIFS(بيانات_الفلتر!$J:$J,بيانات_الفلتر!$A:$A,#REF!,بيانات_الفلتر!$B:$B,A13))</f>
        <v>#REF!</v>
      </c>
      <c r="H13" t="e">
        <f>IF(#REF!="كل الشهور",SUMIFS(بيانات_الفلتر!$C:$C,بيانات_الفلتر!$B:$B,A13),SUMIFS(بيانات_الفلتر!$C:$C,بيانات_الفلتر!$A:$A,#REF!,بيانات_الفلتر!$B:$B,A13))</f>
        <v>#REF!</v>
      </c>
      <c r="I13" t="e">
        <f>IF(#REF!="كل الشهور",SUMIFS(بيانات_الفلتر!$D:$D,بيانات_الفلتر!$B:$B,A13),SUMIFS(بيانات_الفلتر!$D:$D,بيانات_الفلتر!$A:$A,#REF!,بيانات_الفلتر!$B:$B,A13))</f>
        <v>#REF!</v>
      </c>
      <c r="J13" t="e">
        <f>IF(#REF!="كل الشهور",SUMIFS(بيانات_الفلتر!$M:$M,بيانات_الفلتر!$B:$B,A13),SUMIFS(بيانات_الفلتر!$M:$M,بيانات_الفلتر!$A:$A,#REF!,بيانات_الفلتر!$B:$B,A13))</f>
        <v>#REF!</v>
      </c>
      <c r="K13" t="e">
        <f>IF(#REF!="كل الشهور",SUMIFS(بيانات_الفلتر!$L:$L,بيانات_الفلتر!$B:$B,A13),SUMIFS(بيانات_الفلتر!$L:$L,بيانات_الفلتر!$A:$A,#REF!,بيانات_الفلتر!$B:$B,A13))</f>
        <v>#REF!</v>
      </c>
      <c r="L13" t="e">
        <f>IF(#REF!="كل الشهور",SUMIFS(بيانات_الفلتر!$O:$O,بيانات_الفلتر!$B:$B,A13),SUMIFS(بيانات_الفلتر!$O:$O,بيانات_الفلتر!$A:$A,#REF!,بيانات_الفلتر!$B:$B,A13))</f>
        <v>#REF!</v>
      </c>
    </row>
    <row r="14" spans="1:12" x14ac:dyDescent="0.35">
      <c r="A14" t="s">
        <v>89</v>
      </c>
      <c r="B14" t="e">
        <f>IF(#REF!="كل الشهور",SUMIFS(بيانات_الفلتر!$E:$E,بيانات_الفلتر!$B:$B,A14),SUMIFS(بيانات_الفلتر!$E:$E,بيانات_الفلتر!$A:$A,#REF!,بيانات_الفلتر!$B:$B,A14))</f>
        <v>#REF!</v>
      </c>
      <c r="C14" t="e">
        <f>IF(#REF!="كل الشهور",SUMIFS(بيانات_الفلتر!$F:$F,بيانات_الفلتر!$B:$B,A14),SUMIFS(بيانات_الفلتر!$F:$F,بيانات_الفلتر!$A:$A,#REF!,بيانات_الفلتر!$B:$B,A14))</f>
        <v>#REF!</v>
      </c>
      <c r="D14" t="e">
        <f>IF(#REF!="كل الشهور",IFERROR(AVERAGEIFS(بيانات_الفلتر!$G:$G,بيانات_الفلتر!$B:$B,A14),0),IFERROR(AVERAGEIFS(بيانات_الفلتر!$G:$G,بيانات_الفلتر!$A:$A,#REF!,بيانات_الفلتر!$B:$B,A14),0))</f>
        <v>#REF!</v>
      </c>
      <c r="E14" t="e">
        <f>IF(#REF!="كل الشهور",SUMIFS(بيانات_الفلتر!$H:$H,بيانات_الفلتر!$B:$B,A14),SUMIFS(بيانات_الفلتر!$H:$H,بيانات_الفلتر!$A:$A,#REF!,بيانات_الفلتر!$B:$B,A14))</f>
        <v>#REF!</v>
      </c>
      <c r="F14" t="e">
        <f>IF(#REF!="كل الشهور",SUMIFS(بيانات_الفلتر!$I:$I,بيانات_الفلتر!$B:$B,A14),SUMIFS(بيانات_الفلتر!$I:$I,بيانات_الفلتر!$A:$A,#REF!,بيانات_الفلتر!$B:$B,A14))</f>
        <v>#REF!</v>
      </c>
      <c r="G14" t="e">
        <f>IF(#REF!="كل الشهور",SUMIFS(بيانات_الفلتر!$J:$J,بيانات_الفلتر!$B:$B,A14),SUMIFS(بيانات_الفلتر!$J:$J,بيانات_الفلتر!$A:$A,#REF!,بيانات_الفلتر!$B:$B,A14))</f>
        <v>#REF!</v>
      </c>
      <c r="H14" t="e">
        <f>IF(#REF!="كل الشهور",SUMIFS(بيانات_الفلتر!$C:$C,بيانات_الفلتر!$B:$B,A14),SUMIFS(بيانات_الفلتر!$C:$C,بيانات_الفلتر!$A:$A,#REF!,بيانات_الفلتر!$B:$B,A14))</f>
        <v>#REF!</v>
      </c>
      <c r="I14" t="e">
        <f>IF(#REF!="كل الشهور",SUMIFS(بيانات_الفلتر!$D:$D,بيانات_الفلتر!$B:$B,A14),SUMIFS(بيانات_الفلتر!$D:$D,بيانات_الفلتر!$A:$A,#REF!,بيانات_الفلتر!$B:$B,A14))</f>
        <v>#REF!</v>
      </c>
      <c r="J14" t="e">
        <f>IF(#REF!="كل الشهور",SUMIFS(بيانات_الفلتر!$M:$M,بيانات_الفلتر!$B:$B,A14),SUMIFS(بيانات_الفلتر!$M:$M,بيانات_الفلتر!$A:$A,#REF!,بيانات_الفلتر!$B:$B,A14))</f>
        <v>#REF!</v>
      </c>
      <c r="K14" t="e">
        <f>IF(#REF!="كل الشهور",SUMIFS(بيانات_الفلتر!$L:$L,بيانات_الفلتر!$B:$B,A14),SUMIFS(بيانات_الفلتر!$L:$L,بيانات_الفلتر!$A:$A,#REF!,بيانات_الفلتر!$B:$B,A14))</f>
        <v>#REF!</v>
      </c>
      <c r="L14" t="e">
        <f>IF(#REF!="كل الشهور",SUMIFS(بيانات_الفلتر!$O:$O,بيانات_الفلتر!$B:$B,A14),SUMIFS(بيانات_الفلتر!$O:$O,بيانات_الفلتر!$A:$A,#REF!,بيانات_الفلتر!$B:$B,A14))</f>
        <v>#REF!</v>
      </c>
    </row>
    <row r="15" spans="1:12" x14ac:dyDescent="0.35">
      <c r="A15" t="s">
        <v>90</v>
      </c>
      <c r="B15" t="e">
        <f>IF(#REF!="كل الشهور",SUMIFS(بيانات_الفلتر!$E:$E,بيانات_الفلتر!$B:$B,A15),SUMIFS(بيانات_الفلتر!$E:$E,بيانات_الفلتر!$A:$A,#REF!,بيانات_الفلتر!$B:$B,A15))</f>
        <v>#REF!</v>
      </c>
      <c r="C15" t="e">
        <f>IF(#REF!="كل الشهور",SUMIFS(بيانات_الفلتر!$F:$F,بيانات_الفلتر!$B:$B,A15),SUMIFS(بيانات_الفلتر!$F:$F,بيانات_الفلتر!$A:$A,#REF!,بيانات_الفلتر!$B:$B,A15))</f>
        <v>#REF!</v>
      </c>
      <c r="D15" t="e">
        <f>IF(#REF!="كل الشهور",IFERROR(AVERAGEIFS(بيانات_الفلتر!$G:$G,بيانات_الفلتر!$B:$B,A15),0),IFERROR(AVERAGEIFS(بيانات_الفلتر!$G:$G,بيانات_الفلتر!$A:$A,#REF!,بيانات_الفلتر!$B:$B,A15),0))</f>
        <v>#REF!</v>
      </c>
      <c r="E15" t="e">
        <f>IF(#REF!="كل الشهور",SUMIFS(بيانات_الفلتر!$H:$H,بيانات_الفلتر!$B:$B,A15),SUMIFS(بيانات_الفلتر!$H:$H,بيانات_الفلتر!$A:$A,#REF!,بيانات_الفلتر!$B:$B,A15))</f>
        <v>#REF!</v>
      </c>
      <c r="F15" t="e">
        <f>IF(#REF!="كل الشهور",SUMIFS(بيانات_الفلتر!$I:$I,بيانات_الفلتر!$B:$B,A15),SUMIFS(بيانات_الفلتر!$I:$I,بيانات_الفلتر!$A:$A,#REF!,بيانات_الفلتر!$B:$B,A15))</f>
        <v>#REF!</v>
      </c>
      <c r="G15" t="e">
        <f>IF(#REF!="كل الشهور",SUMIFS(بيانات_الفلتر!$J:$J,بيانات_الفلتر!$B:$B,A15),SUMIFS(بيانات_الفلتر!$J:$J,بيانات_الفلتر!$A:$A,#REF!,بيانات_الفلتر!$B:$B,A15))</f>
        <v>#REF!</v>
      </c>
      <c r="H15" t="e">
        <f>IF(#REF!="كل الشهور",SUMIFS(بيانات_الفلتر!$C:$C,بيانات_الفلتر!$B:$B,A15),SUMIFS(بيانات_الفلتر!$C:$C,بيانات_الفلتر!$A:$A,#REF!,بيانات_الفلتر!$B:$B,A15))</f>
        <v>#REF!</v>
      </c>
      <c r="I15" t="e">
        <f>IF(#REF!="كل الشهور",SUMIFS(بيانات_الفلتر!$D:$D,بيانات_الفلتر!$B:$B,A15),SUMIFS(بيانات_الفلتر!$D:$D,بيانات_الفلتر!$A:$A,#REF!,بيانات_الفلتر!$B:$B,A15))</f>
        <v>#REF!</v>
      </c>
      <c r="J15" t="e">
        <f>IF(#REF!="كل الشهور",SUMIFS(بيانات_الفلتر!$M:$M,بيانات_الفلتر!$B:$B,A15),SUMIFS(بيانات_الفلتر!$M:$M,بيانات_الفلتر!$A:$A,#REF!,بيانات_الفلتر!$B:$B,A15))</f>
        <v>#REF!</v>
      </c>
      <c r="K15" t="e">
        <f>IF(#REF!="كل الشهور",SUMIFS(بيانات_الفلتر!$L:$L,بيانات_الفلتر!$B:$B,A15),SUMIFS(بيانات_الفلتر!$L:$L,بيانات_الفلتر!$A:$A,#REF!,بيانات_الفلتر!$B:$B,A15))</f>
        <v>#REF!</v>
      </c>
      <c r="L15" t="e">
        <f>IF(#REF!="كل الشهور",SUMIFS(بيانات_الفلتر!$O:$O,بيانات_الفلتر!$B:$B,A15),SUMIFS(بيانات_الفلتر!$O:$O,بيانات_الفلتر!$A:$A,#REF!,بيانات_الفلتر!$B:$B,A15))</f>
        <v>#REF!</v>
      </c>
    </row>
    <row r="16" spans="1:12" x14ac:dyDescent="0.35">
      <c r="A16" t="s">
        <v>91</v>
      </c>
      <c r="B16" t="e">
        <f>IF(#REF!="كل الشهور",SUMIFS(بيانات_الفلتر!$E:$E,بيانات_الفلتر!$B:$B,A16),SUMIFS(بيانات_الفلتر!$E:$E,بيانات_الفلتر!$A:$A,#REF!,بيانات_الفلتر!$B:$B,A16))</f>
        <v>#REF!</v>
      </c>
      <c r="C16" t="e">
        <f>IF(#REF!="كل الشهور",SUMIFS(بيانات_الفلتر!$F:$F,بيانات_الفلتر!$B:$B,A16),SUMIFS(بيانات_الفلتر!$F:$F,بيانات_الفلتر!$A:$A,#REF!,بيانات_الفلتر!$B:$B,A16))</f>
        <v>#REF!</v>
      </c>
      <c r="D16" t="e">
        <f>IF(#REF!="كل الشهور",IFERROR(AVERAGEIFS(بيانات_الفلتر!$G:$G,بيانات_الفلتر!$B:$B,A16),0),IFERROR(AVERAGEIFS(بيانات_الفلتر!$G:$G,بيانات_الفلتر!$A:$A,#REF!,بيانات_الفلتر!$B:$B,A16),0))</f>
        <v>#REF!</v>
      </c>
      <c r="E16" t="e">
        <f>IF(#REF!="كل الشهور",SUMIFS(بيانات_الفلتر!$H:$H,بيانات_الفلتر!$B:$B,A16),SUMIFS(بيانات_الفلتر!$H:$H,بيانات_الفلتر!$A:$A,#REF!,بيانات_الفلتر!$B:$B,A16))</f>
        <v>#REF!</v>
      </c>
      <c r="F16" t="e">
        <f>IF(#REF!="كل الشهور",SUMIFS(بيانات_الفلتر!$I:$I,بيانات_الفلتر!$B:$B,A16),SUMIFS(بيانات_الفلتر!$I:$I,بيانات_الفلتر!$A:$A,#REF!,بيانات_الفلتر!$B:$B,A16))</f>
        <v>#REF!</v>
      </c>
      <c r="G16" t="e">
        <f>IF(#REF!="كل الشهور",SUMIFS(بيانات_الفلتر!$J:$J,بيانات_الفلتر!$B:$B,A16),SUMIFS(بيانات_الفلتر!$J:$J,بيانات_الفلتر!$A:$A,#REF!,بيانات_الفلتر!$B:$B,A16))</f>
        <v>#REF!</v>
      </c>
      <c r="H16" t="e">
        <f>IF(#REF!="كل الشهور",SUMIFS(بيانات_الفلتر!$C:$C,بيانات_الفلتر!$B:$B,A16),SUMIFS(بيانات_الفلتر!$C:$C,بيانات_الفلتر!$A:$A,#REF!,بيانات_الفلتر!$B:$B,A16))</f>
        <v>#REF!</v>
      </c>
      <c r="I16" t="e">
        <f>IF(#REF!="كل الشهور",SUMIFS(بيانات_الفلتر!$D:$D,بيانات_الفلتر!$B:$B,A16),SUMIFS(بيانات_الفلتر!$D:$D,بيانات_الفلتر!$A:$A,#REF!,بيانات_الفلتر!$B:$B,A16))</f>
        <v>#REF!</v>
      </c>
      <c r="J16" t="e">
        <f>IF(#REF!="كل الشهور",SUMIFS(بيانات_الفلتر!$M:$M,بيانات_الفلتر!$B:$B,A16),SUMIFS(بيانات_الفلتر!$M:$M,بيانات_الفلتر!$A:$A,#REF!,بيانات_الفلتر!$B:$B,A16))</f>
        <v>#REF!</v>
      </c>
      <c r="K16" t="e">
        <f>IF(#REF!="كل الشهور",SUMIFS(بيانات_الفلتر!$L:$L,بيانات_الفلتر!$B:$B,A16),SUMIFS(بيانات_الفلتر!$L:$L,بيانات_الفلتر!$A:$A,#REF!,بيانات_الفلتر!$B:$B,A16))</f>
        <v>#REF!</v>
      </c>
      <c r="L16" t="e">
        <f>IF(#REF!="كل الشهور",SUMIFS(بيانات_الفلتر!$O:$O,بيانات_الفلتر!$B:$B,A16),SUMIFS(بيانات_الفلتر!$O:$O,بيانات_الفلتر!$A:$A,#REF!,بيانات_الفلتر!$B:$B,A16))</f>
        <v>#REF!</v>
      </c>
    </row>
    <row r="17" spans="1:12" x14ac:dyDescent="0.35">
      <c r="A17" t="s">
        <v>57</v>
      </c>
      <c r="B17" t="e">
        <f>SUM(B2:B16)</f>
        <v>#REF!</v>
      </c>
      <c r="C17" t="e">
        <f>SUM(C2:C16)</f>
        <v>#REF!</v>
      </c>
      <c r="D17">
        <f>IFERROR(AVERAGE(D2:D16),0)</f>
        <v>0</v>
      </c>
      <c r="E17" t="e">
        <f t="shared" ref="E17:L17" si="0">SUM(E2:E16)</f>
        <v>#REF!</v>
      </c>
      <c r="F17" t="e">
        <f t="shared" si="0"/>
        <v>#REF!</v>
      </c>
      <c r="G17" t="e">
        <f t="shared" si="0"/>
        <v>#REF!</v>
      </c>
      <c r="H17" t="e">
        <f t="shared" si="0"/>
        <v>#REF!</v>
      </c>
      <c r="I17" t="e">
        <f t="shared" si="0"/>
        <v>#REF!</v>
      </c>
      <c r="J17" t="e">
        <f t="shared" si="0"/>
        <v>#REF!</v>
      </c>
      <c r="K17" s="20" t="e">
        <f t="shared" si="0"/>
        <v>#REF!</v>
      </c>
      <c r="L17" t="e">
        <f t="shared" si="0"/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سبتمبر2025</vt:lpstr>
      <vt:lpstr>اكتوبر2025</vt:lpstr>
      <vt:lpstr>نوفمبر-2025</vt:lpstr>
      <vt:lpstr>ديسمبر 2025</vt:lpstr>
      <vt:lpstr>يناير-2026</vt:lpstr>
      <vt:lpstr>فبراير2026</vt:lpstr>
      <vt:lpstr>مارس 2026</vt:lpstr>
      <vt:lpstr>ابريل -2026</vt:lpstr>
      <vt:lpstr>مايو -2026 </vt:lpstr>
      <vt:lpstr>يونيو -2026</vt:lpstr>
      <vt:lpstr>يوليو -2026</vt:lpstr>
      <vt:lpstr>أغسطس -2026</vt:lpstr>
      <vt:lpstr>سبتمبر -2026</vt:lpstr>
      <vt:lpstr>أكتوبر -2026 </vt:lpstr>
      <vt:lpstr>نوفمبر -2026 </vt:lpstr>
      <vt:lpstr>ديسمبر -2026 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Hamza Ahmed Nasser Muthana</dc:creator>
  <cp:keywords/>
  <dc:description/>
  <cp:lastModifiedBy>Ghada Mohammed Mahdy</cp:lastModifiedBy>
  <cp:revision/>
  <cp:lastPrinted>2026-05-14T17:37:26Z</cp:lastPrinted>
  <dcterms:created xsi:type="dcterms:W3CDTF">2015-06-05T18:17:20Z</dcterms:created>
  <dcterms:modified xsi:type="dcterms:W3CDTF">2026-05-14T17:40:37Z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e8864c-bd17-44e3-b70e-b42f61d3ba50_Enabled">
    <vt:lpwstr>true</vt:lpwstr>
  </property>
  <property fmtid="{D5CDD505-2E9C-101B-9397-08002B2CF9AE}" pid="3" name="MSIP_Label_3fe8864c-bd17-44e3-b70e-b42f61d3ba50_SetDate">
    <vt:lpwstr>2024-12-12T06:06:18Z</vt:lpwstr>
  </property>
  <property fmtid="{D5CDD505-2E9C-101B-9397-08002B2CF9AE}" pid="4" name="MSIP_Label_3fe8864c-bd17-44e3-b70e-b42f61d3ba50_Method">
    <vt:lpwstr>Standard</vt:lpwstr>
  </property>
  <property fmtid="{D5CDD505-2E9C-101B-9397-08002B2CF9AE}" pid="5" name="MSIP_Label_3fe8864c-bd17-44e3-b70e-b42f61d3ba50_Name">
    <vt:lpwstr>C1-Internal</vt:lpwstr>
  </property>
  <property fmtid="{D5CDD505-2E9C-101B-9397-08002B2CF9AE}" pid="6" name="MSIP_Label_3fe8864c-bd17-44e3-b70e-b42f61d3ba50_SiteId">
    <vt:lpwstr>e6faf1d5-f9cf-4fb1-9aa2-b2ecc9e4b921</vt:lpwstr>
  </property>
  <property fmtid="{D5CDD505-2E9C-101B-9397-08002B2CF9AE}" pid="7" name="MSIP_Label_3fe8864c-bd17-44e3-b70e-b42f61d3ba50_ActionId">
    <vt:lpwstr>e6bc50ca-2aa6-4461-bac3-ab5704f3b49c</vt:lpwstr>
  </property>
  <property fmtid="{D5CDD505-2E9C-101B-9397-08002B2CF9AE}" pid="8" name="MSIP_Label_3fe8864c-bd17-44e3-b70e-b42f61d3ba50_ContentBits">
    <vt:lpwstr>1</vt:lpwstr>
  </property>
</Properties>
</file>